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Work\Personal\attendance\dist\2026\"/>
    </mc:Choice>
  </mc:AlternateContent>
  <xr:revisionPtr revIDLastSave="0" documentId="13_ncr:1_{B8862F11-7D5A-4720-9DE5-788A7E048C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3" i="1" l="1"/>
  <c r="I13" i="1" s="1"/>
  <c r="H14" i="1"/>
  <c r="I14" i="1"/>
  <c r="H17" i="1"/>
  <c r="I17" i="1" s="1"/>
  <c r="H18" i="1"/>
  <c r="I18" i="1"/>
  <c r="H19" i="1"/>
  <c r="I19" i="1" s="1"/>
  <c r="H20" i="1"/>
  <c r="I20" i="1" s="1"/>
  <c r="H21" i="1"/>
  <c r="I21" i="1" s="1"/>
  <c r="H24" i="1"/>
  <c r="I24" i="1"/>
  <c r="H26" i="1"/>
  <c r="I26" i="1" s="1"/>
  <c r="H27" i="1"/>
  <c r="I27" i="1" s="1"/>
  <c r="H28" i="1"/>
  <c r="I28" i="1"/>
  <c r="H31" i="1"/>
  <c r="I31" i="1" s="1"/>
  <c r="H32" i="1"/>
  <c r="I32" i="1"/>
  <c r="H33" i="1"/>
  <c r="I33" i="1" s="1"/>
  <c r="H34" i="1"/>
  <c r="I34" i="1"/>
  <c r="H35" i="1"/>
  <c r="I35" i="1" s="1"/>
  <c r="H38" i="1"/>
  <c r="I38" i="1" s="1"/>
  <c r="H39" i="1"/>
  <c r="I39" i="1" s="1"/>
  <c r="H11" i="1"/>
  <c r="I11" i="1" s="1"/>
  <c r="H12" i="1"/>
  <c r="I12" i="1" s="1"/>
  <c r="I41" i="1" l="1"/>
  <c r="B10" i="1"/>
  <c r="B11" i="1" s="1"/>
  <c r="H41" i="1" l="1"/>
  <c r="C11" i="1"/>
  <c r="B12" i="1"/>
  <c r="D11" i="1"/>
  <c r="C10" i="1"/>
  <c r="D10" i="1"/>
  <c r="D12" i="1" l="1"/>
  <c r="C12" i="1"/>
  <c r="B13" i="1"/>
  <c r="B14" i="1" l="1"/>
  <c r="D13" i="1"/>
  <c r="C13" i="1"/>
  <c r="C14" i="1" l="1"/>
  <c r="D14" i="1"/>
  <c r="B15" i="1"/>
  <c r="D15" i="1" l="1"/>
  <c r="B16" i="1"/>
  <c r="C15" i="1"/>
  <c r="B17" i="1" l="1"/>
  <c r="C16" i="1"/>
  <c r="D16" i="1"/>
  <c r="D17" i="1" l="1"/>
  <c r="C17" i="1"/>
  <c r="B18" i="1"/>
  <c r="B19" i="1" l="1"/>
  <c r="D18" i="1"/>
  <c r="C18" i="1"/>
  <c r="C19" i="1" l="1"/>
  <c r="D19" i="1"/>
  <c r="B20" i="1"/>
  <c r="D20" i="1" l="1"/>
  <c r="C20" i="1"/>
  <c r="B21" i="1"/>
  <c r="B22" i="1" l="1"/>
  <c r="D21" i="1"/>
  <c r="C21" i="1"/>
  <c r="C22" i="1" l="1"/>
  <c r="D22" i="1"/>
  <c r="B23" i="1"/>
  <c r="D23" i="1" l="1"/>
  <c r="C23" i="1"/>
  <c r="B24" i="1"/>
  <c r="B25" i="1" l="1"/>
  <c r="C24" i="1"/>
  <c r="D24" i="1"/>
  <c r="D25" i="1" l="1"/>
  <c r="C25" i="1"/>
  <c r="B26" i="1"/>
  <c r="B27" i="1" l="1"/>
  <c r="D26" i="1"/>
  <c r="C26" i="1"/>
  <c r="B28" i="1" l="1"/>
  <c r="D27" i="1"/>
  <c r="C27" i="1"/>
  <c r="D28" i="1" l="1"/>
  <c r="C28" i="1"/>
  <c r="B29" i="1"/>
  <c r="B30" i="1" l="1"/>
  <c r="D29" i="1"/>
  <c r="C29" i="1"/>
  <c r="C30" i="1" l="1"/>
  <c r="D30" i="1"/>
  <c r="B31" i="1"/>
  <c r="D31" i="1" l="1"/>
  <c r="C31" i="1"/>
  <c r="B32" i="1"/>
  <c r="B33" i="1" s="1"/>
  <c r="C33" i="1" l="1"/>
  <c r="D33" i="1"/>
  <c r="C32" i="1"/>
  <c r="D32" i="1"/>
  <c r="B34" i="1" l="1"/>
  <c r="B35" i="1" l="1"/>
  <c r="D34" i="1"/>
  <c r="C34" i="1"/>
  <c r="C35" i="1" l="1"/>
  <c r="B36" i="1"/>
  <c r="D35" i="1"/>
  <c r="C36" i="1" l="1"/>
  <c r="D36" i="1"/>
  <c r="B37" i="1"/>
  <c r="B38" i="1" l="1"/>
  <c r="D37" i="1"/>
  <c r="C37" i="1"/>
  <c r="D38" i="1" l="1"/>
  <c r="C38" i="1"/>
  <c r="B39" i="1"/>
  <c r="D39" i="1" l="1"/>
  <c r="B40" i="1"/>
  <c r="D40" i="1" s="1"/>
</calcChain>
</file>

<file path=xl/sharedStrings.xml><?xml version="1.0" encoding="utf-8"?>
<sst xmlns="http://schemas.openxmlformats.org/spreadsheetml/2006/main" count="77" uniqueCount="39">
  <si>
    <t>Working Report</t>
  </si>
  <si>
    <t>EmployeeName</t>
  </si>
  <si>
    <t>RAKARIZAL MUHAMMAD ZIDAN</t>
  </si>
  <si>
    <t>Customer Name</t>
  </si>
  <si>
    <t>TMMIN</t>
  </si>
  <si>
    <t>ID No.</t>
  </si>
  <si>
    <t>Project Name</t>
  </si>
  <si>
    <t>Position</t>
  </si>
  <si>
    <t>ANALYST PROGRAMMER</t>
  </si>
  <si>
    <t>WO Number</t>
  </si>
  <si>
    <t>MONTH/YEAR:</t>
  </si>
  <si>
    <t>DATE</t>
  </si>
  <si>
    <t>TIME</t>
  </si>
  <si>
    <t>Working Time</t>
  </si>
  <si>
    <t>Place</t>
  </si>
  <si>
    <t>ACTIVITY</t>
  </si>
  <si>
    <t>IN</t>
  </si>
  <si>
    <t>OUT</t>
  </si>
  <si>
    <t>BREAK</t>
  </si>
  <si>
    <t>Total</t>
  </si>
  <si>
    <t>OverTime</t>
  </si>
  <si>
    <t>TMMIN SUNTER 1</t>
  </si>
  <si>
    <t>TOTAL</t>
  </si>
  <si>
    <t>Name</t>
  </si>
  <si>
    <t>Signature</t>
  </si>
  <si>
    <t>Issued by</t>
  </si>
  <si>
    <t>Date</t>
  </si>
  <si>
    <t>Approved by</t>
  </si>
  <si>
    <t>;00</t>
  </si>
  <si>
    <t>Bagi karyawan yang tugas luar (khusus untuk standby di satu customer),  prosedur absensi adalah sbb:</t>
  </si>
  <si>
    <t>1. Absen wajib dilakukan pada saat datang dan saat pulang kerja dengan mengisi form terlampir.</t>
  </si>
  <si>
    <t xml:space="preserve">2. Setelah akhir bulan, form yang sudah lengkap tsb dikirim beserta lampirannya  seperti: form cuti, keterangan dokter, dll via fax ke manager bersangkutan  </t>
  </si>
  <si>
    <t>3. Setelah disetujui manager, form ini diserahkan ke HRD.</t>
  </si>
  <si>
    <t>HOME</t>
  </si>
  <si>
    <t>N1 Simulation Project</t>
  </si>
  <si>
    <t>Pancasila Day</t>
  </si>
  <si>
    <t>Muharram</t>
  </si>
  <si>
    <t>IPMS BL Combine</t>
  </si>
  <si>
    <t>IPMS BL Combine &amp; N1 Simulation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</si>
</sst>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mmm\-yyyy"/>
    <numFmt numFmtId="165" formatCode="dd"/>
    <numFmt numFmtId="166" formatCode="0_);[Red]\(0\)"/>
    <numFmt numFmtId="167" formatCode="h:mm;@"/>
    <numFmt numFmtId="168" formatCode="[h]:mm;@"/>
    <numFmt numFmtId="169" formatCode="0.00_ "/>
    <numFmt numFmtId="170" formatCode="0_ "/>
    <numFmt numFmtId="171" formatCode="0.00_)"/>
  </numFmts>
  <fonts count="22">
    <font>
      <sz val="11"/>
      <color theme="1"/>
      <name val="Aptos Narrow"/>
      <family val="2"/>
      <scheme val="minor"/>
    </font>
    <font>
      <sz val="10"/>
      <color indexed="18"/>
      <name val="Arial"/>
      <family val="2"/>
    </font>
    <font>
      <b/>
      <u/>
      <sz val="18"/>
      <color indexed="18"/>
      <name val="Arial Unicode MS"/>
      <family val="3"/>
      <charset val="128"/>
    </font>
    <font>
      <u/>
      <sz val="10"/>
      <color indexed="18"/>
      <name val="Arial Unicode MS"/>
      <family val="3"/>
      <charset val="128"/>
    </font>
    <font>
      <b/>
      <sz val="8"/>
      <color indexed="18"/>
      <name val="Arial Unicode MS"/>
      <family val="3"/>
      <charset val="128"/>
    </font>
    <font>
      <sz val="10"/>
      <color indexed="18"/>
      <name val="Arial Unicode MS"/>
      <family val="3"/>
      <charset val="128"/>
    </font>
    <font>
      <b/>
      <sz val="10"/>
      <color indexed="18"/>
      <name val="Arial Unicode MS"/>
      <family val="3"/>
      <charset val="128"/>
    </font>
    <font>
      <b/>
      <sz val="10"/>
      <name val="Arial"/>
      <family val="2"/>
    </font>
    <font>
      <b/>
      <sz val="12"/>
      <color indexed="18"/>
      <name val="Arial Unicode MS"/>
      <family val="3"/>
      <charset val="128"/>
    </font>
    <font>
      <sz val="10"/>
      <color theme="0"/>
      <name val="Arial"/>
      <family val="2"/>
    </font>
    <font>
      <sz val="11"/>
      <color indexed="18"/>
      <name val="Arial Unicode MS"/>
      <family val="3"/>
      <charset val="128"/>
    </font>
    <font>
      <sz val="11"/>
      <name val="Arial Unicode MS"/>
      <family val="2"/>
    </font>
    <font>
      <sz val="11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name val="Arial Unicode MS"/>
      <family val="2"/>
    </font>
    <font>
      <b/>
      <sz val="11"/>
      <name val="Arial Unicode MS"/>
      <family val="2"/>
    </font>
    <font>
      <b/>
      <sz val="8"/>
      <name val="Antique Olive"/>
      <family val="2"/>
    </font>
    <font>
      <sz val="8"/>
      <name val="Antique Olive"/>
      <family val="2"/>
    </font>
    <font>
      <sz val="8"/>
      <color indexed="18"/>
      <name val="Antique Olive"/>
      <family val="2"/>
    </font>
    <font>
      <sz val="8"/>
      <name val="Aptos Narrow"/>
      <family val="2"/>
      <scheme val="minor"/>
    </font>
    <font>
      <b/>
      <i/>
      <sz val="16"/>
      <name val="Helv"/>
      <family val="2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43" fontId="13" fillId="0" borderId="0"/>
    <xf numFmtId="0" fontId="13" fillId="0" borderId="0"/>
    <xf numFmtId="43" fontId="13" fillId="0" borderId="0" applyFont="0" applyFill="0" applyBorder="0" applyAlignment="0" applyProtection="0"/>
    <xf numFmtId="171" fontId="21" fillId="0" borderId="0"/>
    <xf numFmtId="0" fontId="13" fillId="0" borderId="0"/>
    <xf numFmtId="0" fontId="13" fillId="0" borderId="0"/>
    <xf numFmtId="0" fontId="13" fillId="0" borderId="0"/>
    <xf numFmtId="0" fontId="13" fillId="0" borderId="0"/>
  </cellStyleXfs>
  <cellXfs count="129">
    <xf numFmtId="0" fontId="0" fillId="0" borderId="0" xfId="0"/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5" fillId="0" borderId="0" xfId="0" applyFont="1"/>
    <xf numFmtId="0" fontId="6" fillId="0" borderId="1" xfId="0" applyFont="1" applyBorder="1" applyAlignment="1">
      <alignment horizontal="left"/>
    </xf>
    <xf numFmtId="0" fontId="7" fillId="2" borderId="6" xfId="0" quotePrefix="1" applyFont="1" applyFill="1" applyBorder="1" applyAlignment="1" applyProtection="1">
      <alignment horizontal="left" vertical="center"/>
      <protection locked="0"/>
    </xf>
    <xf numFmtId="0" fontId="6" fillId="0" borderId="12" xfId="0" applyFont="1" applyBorder="1" applyAlignment="1">
      <alignment horizontal="left"/>
    </xf>
    <xf numFmtId="0" fontId="7" fillId="2" borderId="13" xfId="0" applyFont="1" applyFill="1" applyBorder="1" applyAlignment="1" applyProtection="1">
      <alignment horizontal="left" vertical="center"/>
      <protection locked="0"/>
    </xf>
    <xf numFmtId="0" fontId="5" fillId="0" borderId="0" xfId="0" applyFont="1" applyAlignment="1">
      <alignment horizontal="centerContinuous"/>
    </xf>
    <xf numFmtId="0" fontId="6" fillId="0" borderId="18" xfId="0" applyFont="1" applyBorder="1" applyAlignment="1">
      <alignment horizontal="left"/>
    </xf>
    <xf numFmtId="0" fontId="5" fillId="0" borderId="19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8" fillId="3" borderId="21" xfId="0" applyFont="1" applyFill="1" applyBorder="1" applyAlignment="1" applyProtection="1">
      <alignment horizontal="center" vertical="center"/>
      <protection locked="0"/>
    </xf>
    <xf numFmtId="164" fontId="0" fillId="0" borderId="22" xfId="0" applyNumberFormat="1" applyBorder="1" applyAlignment="1">
      <alignment horizontal="left" vertical="center"/>
    </xf>
    <xf numFmtId="19" fontId="9" fillId="0" borderId="16" xfId="0" quotePrefix="1" applyNumberFormat="1" applyFont="1" applyBorder="1"/>
    <xf numFmtId="0" fontId="1" fillId="0" borderId="0" xfId="0" applyFont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165" fontId="10" fillId="0" borderId="1" xfId="0" applyNumberFormat="1" applyFont="1" applyBorder="1" applyAlignment="1">
      <alignment horizontal="center" vertical="center"/>
    </xf>
    <xf numFmtId="166" fontId="10" fillId="0" borderId="2" xfId="0" applyNumberFormat="1" applyFont="1" applyBorder="1" applyAlignment="1">
      <alignment horizontal="left" vertical="center"/>
    </xf>
    <xf numFmtId="0" fontId="10" fillId="0" borderId="3" xfId="0" applyFont="1" applyBorder="1" applyAlignment="1">
      <alignment horizontal="center" vertical="center"/>
    </xf>
    <xf numFmtId="20" fontId="12" fillId="0" borderId="33" xfId="0" applyNumberFormat="1" applyFont="1" applyBorder="1" applyAlignment="1">
      <alignment horizontal="right" vertical="center"/>
    </xf>
    <xf numFmtId="20" fontId="12" fillId="0" borderId="8" xfId="1" applyNumberFormat="1" applyFont="1" applyBorder="1" applyAlignment="1">
      <alignment horizontal="right" vertical="center"/>
    </xf>
    <xf numFmtId="0" fontId="10" fillId="2" borderId="34" xfId="0" applyFont="1" applyFill="1" applyBorder="1" applyAlignment="1" applyProtection="1">
      <alignment horizontal="center" vertical="center" wrapText="1"/>
      <protection locked="0"/>
    </xf>
    <xf numFmtId="165" fontId="10" fillId="0" borderId="12" xfId="0" applyNumberFormat="1" applyFont="1" applyBorder="1" applyAlignment="1">
      <alignment horizontal="center" vertical="center"/>
    </xf>
    <xf numFmtId="166" fontId="10" fillId="0" borderId="32" xfId="0" applyNumberFormat="1" applyFont="1" applyBorder="1" applyAlignment="1">
      <alignment horizontal="left" vertical="center"/>
    </xf>
    <xf numFmtId="0" fontId="10" fillId="0" borderId="9" xfId="0" applyFont="1" applyBorder="1" applyAlignment="1">
      <alignment horizontal="center" vertical="center"/>
    </xf>
    <xf numFmtId="167" fontId="14" fillId="0" borderId="0" xfId="0" applyNumberFormat="1" applyFont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65" fontId="10" fillId="0" borderId="35" xfId="0" applyNumberFormat="1" applyFont="1" applyBorder="1" applyAlignment="1">
      <alignment horizontal="center" vertical="center"/>
    </xf>
    <xf numFmtId="166" fontId="10" fillId="0" borderId="36" xfId="0" applyNumberFormat="1" applyFont="1" applyBorder="1" applyAlignment="1">
      <alignment horizontal="left" vertical="center"/>
    </xf>
    <xf numFmtId="0" fontId="10" fillId="0" borderId="37" xfId="0" applyFont="1" applyBorder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/>
    </xf>
    <xf numFmtId="168" fontId="12" fillId="0" borderId="30" xfId="0" applyNumberFormat="1" applyFont="1" applyBorder="1"/>
    <xf numFmtId="168" fontId="12" fillId="0" borderId="39" xfId="0" applyNumberFormat="1" applyFont="1" applyBorder="1"/>
    <xf numFmtId="20" fontId="10" fillId="0" borderId="0" xfId="0" applyNumberFormat="1" applyFont="1" applyAlignment="1">
      <alignment horizontal="center"/>
    </xf>
    <xf numFmtId="169" fontId="10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70" fontId="5" fillId="0" borderId="0" xfId="0" applyNumberFormat="1" applyFont="1"/>
    <xf numFmtId="170" fontId="10" fillId="0" borderId="0" xfId="0" applyNumberFormat="1" applyFont="1"/>
    <xf numFmtId="16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5" fontId="10" fillId="0" borderId="0" xfId="0" applyNumberFormat="1" applyFont="1" applyAlignment="1" applyProtection="1">
      <alignment horizontal="left" vertical="center" shrinkToFit="1"/>
      <protection locked="0"/>
    </xf>
    <xf numFmtId="0" fontId="10" fillId="0" borderId="0" xfId="0" applyFont="1" applyAlignment="1" applyProtection="1">
      <alignment horizontal="left" vertical="center" shrinkToFit="1"/>
      <protection locked="0"/>
    </xf>
    <xf numFmtId="0" fontId="11" fillId="0" borderId="0" xfId="0" applyFont="1" applyAlignment="1" applyProtection="1">
      <alignment horizontal="left" vertical="center" shrinkToFit="1"/>
      <protection locked="0"/>
    </xf>
    <xf numFmtId="0" fontId="18" fillId="0" borderId="49" xfId="0" applyFont="1" applyBorder="1" applyAlignment="1">
      <alignment horizontal="left"/>
    </xf>
    <xf numFmtId="0" fontId="18" fillId="0" borderId="50" xfId="0" applyFont="1" applyBorder="1" applyAlignment="1">
      <alignment horizontal="left"/>
    </xf>
    <xf numFmtId="0" fontId="18" fillId="0" borderId="51" xfId="0" applyFont="1" applyBorder="1" applyAlignment="1">
      <alignment horizontal="left"/>
    </xf>
    <xf numFmtId="0" fontId="1" fillId="0" borderId="0" xfId="0" applyFont="1" applyAlignment="1">
      <alignment horizontal="center"/>
    </xf>
    <xf numFmtId="14" fontId="1" fillId="0" borderId="0" xfId="0" applyNumberFormat="1" applyFont="1"/>
    <xf numFmtId="20" fontId="1" fillId="0" borderId="0" xfId="0" applyNumberFormat="1" applyFont="1"/>
    <xf numFmtId="0" fontId="10" fillId="2" borderId="34" xfId="0" applyFont="1" applyFill="1" applyBorder="1" applyAlignment="1" applyProtection="1">
      <alignment horizontal="left" vertical="center" wrapText="1"/>
      <protection locked="0"/>
    </xf>
    <xf numFmtId="20" fontId="11" fillId="2" borderId="12" xfId="0" applyNumberFormat="1" applyFont="1" applyFill="1" applyBorder="1" applyAlignment="1" applyProtection="1">
      <alignment horizontal="right" vertical="center"/>
      <protection locked="0"/>
    </xf>
    <xf numFmtId="20" fontId="11" fillId="4" borderId="31" xfId="0" applyNumberFormat="1" applyFont="1" applyFill="1" applyBorder="1" applyAlignment="1" applyProtection="1">
      <alignment horizontal="right" vertical="center"/>
      <protection locked="0"/>
    </xf>
    <xf numFmtId="20" fontId="11" fillId="2" borderId="32" xfId="0" applyNumberFormat="1" applyFont="1" applyFill="1" applyBorder="1" applyAlignment="1" applyProtection="1">
      <alignment horizontal="right" vertical="center"/>
      <protection locked="0"/>
    </xf>
    <xf numFmtId="0" fontId="1" fillId="0" borderId="0" xfId="0" applyFont="1"/>
    <xf numFmtId="0" fontId="19" fillId="0" borderId="0" xfId="0" applyFont="1"/>
    <xf numFmtId="20" fontId="11" fillId="5" borderId="12" xfId="0" applyNumberFormat="1" applyFont="1" applyFill="1" applyBorder="1" applyAlignment="1" applyProtection="1">
      <alignment horizontal="right" vertical="center"/>
      <protection locked="0"/>
    </xf>
    <xf numFmtId="20" fontId="11" fillId="5" borderId="31" xfId="0" applyNumberFormat="1" applyFont="1" applyFill="1" applyBorder="1" applyAlignment="1" applyProtection="1">
      <alignment horizontal="right" vertical="center"/>
      <protection locked="0"/>
    </xf>
    <xf numFmtId="20" fontId="11" fillId="5" borderId="32" xfId="0" applyNumberFormat="1" applyFont="1" applyFill="1" applyBorder="1" applyAlignment="1" applyProtection="1">
      <alignment horizontal="right" vertical="center"/>
      <protection locked="0"/>
    </xf>
    <xf numFmtId="20" fontId="12" fillId="5" borderId="33" xfId="0" applyNumberFormat="1" applyFont="1" applyFill="1" applyBorder="1" applyAlignment="1">
      <alignment horizontal="right" vertical="center"/>
    </xf>
    <xf numFmtId="20" fontId="12" fillId="5" borderId="8" xfId="1" applyNumberFormat="1" applyFont="1" applyFill="1" applyBorder="1" applyAlignment="1">
      <alignment horizontal="right" vertical="center"/>
    </xf>
    <xf numFmtId="0" fontId="10" fillId="5" borderId="34" xfId="0" applyFont="1" applyFill="1" applyBorder="1" applyAlignment="1" applyProtection="1">
      <alignment horizontal="center" vertical="center" wrapText="1"/>
      <protection locked="0"/>
    </xf>
    <xf numFmtId="0" fontId="10" fillId="5" borderId="34" xfId="0" applyFont="1" applyFill="1" applyBorder="1" applyAlignment="1" applyProtection="1">
      <alignment horizontal="left" vertical="center" wrapText="1"/>
      <protection locked="0"/>
    </xf>
    <xf numFmtId="0" fontId="5" fillId="2" borderId="33" xfId="0" applyFont="1" applyFill="1" applyBorder="1" applyAlignment="1" applyProtection="1">
      <alignment horizontal="left" vertical="center" shrinkToFit="1"/>
      <protection locked="0"/>
    </xf>
    <xf numFmtId="0" fontId="0" fillId="0" borderId="51" xfId="0" applyBorder="1" applyProtection="1">
      <protection locked="0"/>
    </xf>
    <xf numFmtId="16" fontId="15" fillId="0" borderId="44" xfId="0" applyNumberFormat="1" applyFont="1" applyBorder="1" applyAlignment="1">
      <alignment horizontal="center" vertical="center"/>
    </xf>
    <xf numFmtId="0" fontId="0" fillId="0" borderId="31" xfId="0" applyBorder="1"/>
    <xf numFmtId="0" fontId="5" fillId="0" borderId="39" xfId="0" applyFont="1" applyBorder="1" applyAlignment="1">
      <alignment horizontal="center" vertical="center"/>
    </xf>
    <xf numFmtId="0" fontId="0" fillId="0" borderId="30" xfId="0" applyBorder="1"/>
    <xf numFmtId="0" fontId="5" fillId="0" borderId="55" xfId="0" applyFont="1" applyBorder="1"/>
    <xf numFmtId="0" fontId="0" fillId="0" borderId="40" xfId="0" applyBorder="1"/>
    <xf numFmtId="0" fontId="18" fillId="0" borderId="52" xfId="0" applyFont="1" applyBorder="1" applyAlignment="1">
      <alignment horizontal="left"/>
    </xf>
    <xf numFmtId="0" fontId="19" fillId="0" borderId="0" xfId="0" applyFont="1"/>
    <xf numFmtId="0" fontId="0" fillId="0" borderId="48" xfId="0" applyBorder="1"/>
    <xf numFmtId="169" fontId="5" fillId="0" borderId="41" xfId="0" applyNumberFormat="1" applyFont="1" applyBorder="1" applyAlignment="1">
      <alignment horizontal="center" vertical="center" shrinkToFit="1"/>
    </xf>
    <xf numFmtId="0" fontId="5" fillId="2" borderId="46" xfId="0" applyFont="1" applyFill="1" applyBorder="1" applyAlignment="1" applyProtection="1">
      <alignment horizontal="left" vertical="center" shrinkToFit="1"/>
      <protection locked="0"/>
    </xf>
    <xf numFmtId="0" fontId="0" fillId="0" borderId="54" xfId="0" applyBorder="1" applyProtection="1">
      <protection locked="0"/>
    </xf>
    <xf numFmtId="0" fontId="17" fillId="0" borderId="36" xfId="0" applyFont="1" applyBorder="1" applyAlignment="1">
      <alignment horizontal="left"/>
    </xf>
    <xf numFmtId="0" fontId="0" fillId="0" borderId="8" xfId="0" applyBorder="1"/>
    <xf numFmtId="0" fontId="0" fillId="0" borderId="47" xfId="0" applyBorder="1"/>
    <xf numFmtId="0" fontId="5" fillId="2" borderId="36" xfId="0" applyFont="1" applyFill="1" applyBorder="1" applyAlignment="1" applyProtection="1">
      <alignment horizontal="left" vertical="center" shrinkToFit="1"/>
      <protection locked="0"/>
    </xf>
    <xf numFmtId="0" fontId="0" fillId="0" borderId="47" xfId="0" applyBorder="1" applyProtection="1">
      <protection locked="0"/>
    </xf>
    <xf numFmtId="16" fontId="15" fillId="0" borderId="45" xfId="0" applyNumberFormat="1" applyFont="1" applyBorder="1" applyAlignment="1">
      <alignment horizontal="center" vertical="center"/>
    </xf>
    <xf numFmtId="0" fontId="0" fillId="0" borderId="53" xfId="0" applyBorder="1"/>
    <xf numFmtId="15" fontId="5" fillId="2" borderId="32" xfId="0" quotePrefix="1" applyNumberFormat="1" applyFont="1" applyFill="1" applyBorder="1" applyAlignment="1" applyProtection="1">
      <alignment horizontal="left" vertical="center" shrinkToFit="1"/>
      <protection locked="0"/>
    </xf>
    <xf numFmtId="0" fontId="0" fillId="0" borderId="10" xfId="0" applyBorder="1" applyProtection="1">
      <protection locked="0"/>
    </xf>
    <xf numFmtId="0" fontId="0" fillId="0" borderId="31" xfId="0" applyBorder="1" applyProtection="1">
      <protection locked="0"/>
    </xf>
    <xf numFmtId="0" fontId="5" fillId="2" borderId="32" xfId="0" applyFont="1" applyFill="1" applyBorder="1" applyAlignment="1" applyProtection="1">
      <alignment horizontal="left" vertical="center" shrinkToFit="1"/>
      <protection locked="0"/>
    </xf>
    <xf numFmtId="0" fontId="2" fillId="0" borderId="0" xfId="0" applyFont="1" applyAlignment="1">
      <alignment horizontal="center" vertical="center"/>
    </xf>
    <xf numFmtId="0" fontId="1" fillId="0" borderId="0" xfId="0" applyFont="1"/>
    <xf numFmtId="0" fontId="6" fillId="2" borderId="6" xfId="0" applyFont="1" applyFill="1" applyBorder="1" applyAlignment="1" applyProtection="1">
      <alignment horizontal="left" vertical="center"/>
      <protection locked="0"/>
    </xf>
    <xf numFmtId="0" fontId="0" fillId="0" borderId="4" xfId="0" applyBorder="1" applyProtection="1">
      <protection locked="0"/>
    </xf>
    <xf numFmtId="0" fontId="0" fillId="0" borderId="5" xfId="0" applyBorder="1" applyProtection="1">
      <protection locked="0"/>
    </xf>
    <xf numFmtId="0" fontId="0" fillId="0" borderId="50" xfId="0" applyBorder="1" applyProtection="1">
      <protection locked="0"/>
    </xf>
    <xf numFmtId="0" fontId="5" fillId="2" borderId="56" xfId="0" applyFont="1" applyFill="1" applyBorder="1" applyAlignment="1" applyProtection="1">
      <alignment horizontal="center" vertical="center" shrinkToFit="1"/>
      <protection locked="0"/>
    </xf>
    <xf numFmtId="0" fontId="0" fillId="0" borderId="43" xfId="0" applyBorder="1" applyProtection="1">
      <protection locked="0"/>
    </xf>
    <xf numFmtId="0" fontId="5" fillId="2" borderId="59" xfId="0" applyFont="1" applyFill="1" applyBorder="1" applyAlignment="1" applyProtection="1">
      <alignment horizontal="left" vertical="center"/>
      <protection locked="0"/>
    </xf>
    <xf numFmtId="0" fontId="0" fillId="0" borderId="16" xfId="0" applyBorder="1" applyProtection="1">
      <protection locked="0"/>
    </xf>
    <xf numFmtId="0" fontId="0" fillId="0" borderId="17" xfId="0" applyBorder="1" applyProtection="1">
      <protection locked="0"/>
    </xf>
    <xf numFmtId="0" fontId="5" fillId="0" borderId="1" xfId="0" applyFont="1" applyBorder="1" applyAlignment="1">
      <alignment horizontal="center" vertical="center"/>
    </xf>
    <xf numFmtId="0" fontId="0" fillId="0" borderId="4" xfId="0" applyBorder="1"/>
    <xf numFmtId="0" fontId="0" fillId="0" borderId="25" xfId="0" applyBorder="1"/>
    <xf numFmtId="0" fontId="5" fillId="2" borderId="13" xfId="0" applyFont="1" applyFill="1" applyBorder="1" applyAlignment="1" applyProtection="1">
      <alignment horizontal="left" vertical="center"/>
      <protection locked="0"/>
    </xf>
    <xf numFmtId="0" fontId="0" fillId="0" borderId="11" xfId="0" applyBorder="1" applyProtection="1">
      <protection locked="0"/>
    </xf>
    <xf numFmtId="0" fontId="5" fillId="0" borderId="3" xfId="0" applyFont="1" applyBorder="1" applyAlignment="1">
      <alignment horizontal="center"/>
    </xf>
    <xf numFmtId="16" fontId="15" fillId="0" borderId="42" xfId="0" applyNumberFormat="1" applyFont="1" applyBorder="1" applyAlignment="1">
      <alignment horizontal="center" vertical="center"/>
    </xf>
    <xf numFmtId="0" fontId="0" fillId="0" borderId="51" xfId="0" applyBorder="1"/>
    <xf numFmtId="0" fontId="4" fillId="0" borderId="38" xfId="0" applyFont="1" applyBorder="1" applyAlignment="1">
      <alignment horizontal="left"/>
    </xf>
    <xf numFmtId="0" fontId="0" fillId="0" borderId="14" xfId="0" applyBorder="1"/>
    <xf numFmtId="0" fontId="0" fillId="0" borderId="15" xfId="0" applyBorder="1"/>
    <xf numFmtId="0" fontId="4" fillId="0" borderId="7" xfId="0" applyFont="1" applyBorder="1" applyAlignment="1">
      <alignment horizontal="left"/>
    </xf>
    <xf numFmtId="0" fontId="5" fillId="0" borderId="41" xfId="0" applyFont="1" applyBorder="1" applyAlignment="1">
      <alignment horizontal="center" vertical="center" shrinkToFit="1"/>
    </xf>
    <xf numFmtId="0" fontId="0" fillId="0" borderId="20" xfId="0" applyBorder="1"/>
    <xf numFmtId="0" fontId="10" fillId="3" borderId="39" xfId="0" applyFont="1" applyFill="1" applyBorder="1" applyAlignment="1">
      <alignment horizontal="center"/>
    </xf>
    <xf numFmtId="0" fontId="0" fillId="0" borderId="57" xfId="0" applyBorder="1"/>
    <xf numFmtId="0" fontId="5" fillId="0" borderId="58" xfId="0" applyFont="1" applyBorder="1" applyAlignment="1">
      <alignment horizontal="center" vertical="center"/>
    </xf>
    <xf numFmtId="0" fontId="0" fillId="0" borderId="23" xfId="0" applyBorder="1"/>
    <xf numFmtId="0" fontId="0" fillId="0" borderId="24" xfId="0" applyBorder="1"/>
    <xf numFmtId="0" fontId="0" fillId="0" borderId="26" xfId="0" applyBorder="1"/>
    <xf numFmtId="0" fontId="0" fillId="0" borderId="16" xfId="0" applyBorder="1"/>
    <xf numFmtId="0" fontId="0" fillId="0" borderId="17" xfId="0" applyBorder="1"/>
  </cellXfs>
  <cellStyles count="9">
    <cellStyle name="Comma 2" xfId="3" xr:uid="{51DB92EC-A495-4AF2-9BF4-99FE3630572B}"/>
    <cellStyle name="Comma_Serrano_Joseph_December" xfId="1" xr:uid="{00000000-0005-0000-0000-000001000000}"/>
    <cellStyle name="Normal" xfId="0" builtinId="0"/>
    <cellStyle name="Normal - Style1" xfId="4" xr:uid="{05D5A894-DB08-4766-8AD9-4D2227141D86}"/>
    <cellStyle name="Normal 2" xfId="2" xr:uid="{11C8BAEF-66FE-4C0F-A35F-F15C79FA6872}"/>
    <cellStyle name="Normal 3" xfId="5" xr:uid="{BB4FB38F-C55B-4544-8391-8ABB0FF7CDD6}"/>
    <cellStyle name="Normal 4" xfId="6" xr:uid="{B6D50506-696A-443D-B801-CD9723AC5434}"/>
    <cellStyle name="Normal 5" xfId="7" xr:uid="{7FA2A6AC-C7E2-450A-8266-CACA4C903917}"/>
    <cellStyle name="Normal 6" xfId="8" xr:uid="{2EB73769-82F8-43BD-B2E9-32D958196904}"/>
  </cellStyles>
  <dxfs count="22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537883</xdr:colOff>
      <xdr:row>42</xdr:row>
      <xdr:rowOff>156883</xdr:rowOff>
    </xdr:from>
    <xdr:to>
      <xdr:col>9</xdr:col>
      <xdr:colOff>616324</xdr:colOff>
      <xdr:row>45</xdr:row>
      <xdr:rowOff>5797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AA5526A-6F70-46B7-A5B0-DF232596A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4207" y="8348383"/>
          <a:ext cx="907676" cy="3755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WVK142"/>
  <sheetViews>
    <sheetView tabSelected="1" zoomScale="85" zoomScaleNormal="85" workbookViewId="0">
      <selection activeCell="B2" sqref="B2:J2"/>
    </sheetView>
  </sheetViews>
  <sheetFormatPr defaultColWidth="9.125" defaultRowHeight="12.75"/>
  <cols>
    <col min="1" max="1" width="1.875" style="62" customWidth="1"/>
    <col min="2" max="2" width="7.125" style="62" customWidth="1"/>
    <col min="3" max="3" width="7.5" style="62" hidden="1" customWidth="1"/>
    <col min="4" max="4" width="7.5" style="62" customWidth="1"/>
    <col min="5" max="5" width="7.625" style="62" customWidth="1"/>
    <col min="6" max="6" width="8.125" style="62" bestFit="1" customWidth="1"/>
    <col min="7" max="7" width="9.625" style="62" customWidth="1"/>
    <col min="8" max="8" width="16.375" style="62" customWidth="1"/>
    <col min="9" max="9" width="10.875" style="62" customWidth="1"/>
    <col min="10" max="10" width="16.375" style="62" bestFit="1" customWidth="1"/>
    <col min="11" max="11" width="59.5" style="62" customWidth="1"/>
    <col min="12" max="12" width="2.125" style="62" customWidth="1"/>
    <col min="13" max="256" width="9.125" style="62" customWidth="1"/>
    <col min="257" max="257" width="1.875" style="62" customWidth="1"/>
    <col min="258" max="258" width="7.125" style="62" customWidth="1"/>
    <col min="259" max="259" width="13" style="62" hidden="1" customWidth="1"/>
    <col min="260" max="260" width="7.5" style="62" customWidth="1"/>
    <col min="261" max="261" width="7.625" style="62" customWidth="1"/>
    <col min="262" max="262" width="8.125" style="62" bestFit="1" customWidth="1"/>
    <col min="263" max="263" width="9.625" style="62" customWidth="1"/>
    <col min="264" max="264" width="16.375" style="62" customWidth="1"/>
    <col min="265" max="265" width="10.875" style="62" customWidth="1"/>
    <col min="266" max="266" width="16.375" style="62" bestFit="1" customWidth="1"/>
    <col min="267" max="267" width="59.5" style="62" customWidth="1"/>
    <col min="268" max="268" width="2.125" style="62" customWidth="1"/>
    <col min="269" max="512" width="9.125" style="62" customWidth="1"/>
    <col min="513" max="513" width="1.875" style="62" customWidth="1"/>
    <col min="514" max="514" width="7.125" style="62" customWidth="1"/>
    <col min="515" max="515" width="13" style="62" hidden="1" customWidth="1"/>
    <col min="516" max="516" width="7.5" style="62" customWidth="1"/>
    <col min="517" max="517" width="7.625" style="62" customWidth="1"/>
    <col min="518" max="518" width="8.125" style="62" bestFit="1" customWidth="1"/>
    <col min="519" max="519" width="9.625" style="62" customWidth="1"/>
    <col min="520" max="520" width="16.375" style="62" customWidth="1"/>
    <col min="521" max="521" width="10.875" style="62" customWidth="1"/>
    <col min="522" max="522" width="16.375" style="62" bestFit="1" customWidth="1"/>
    <col min="523" max="523" width="59.5" style="62" customWidth="1"/>
    <col min="524" max="524" width="2.125" style="62" customWidth="1"/>
    <col min="525" max="768" width="9.125" style="62" customWidth="1"/>
    <col min="769" max="769" width="1.875" style="62" customWidth="1"/>
    <col min="770" max="770" width="7.125" style="62" customWidth="1"/>
    <col min="771" max="771" width="13" style="62" hidden="1" customWidth="1"/>
    <col min="772" max="772" width="7.5" style="62" customWidth="1"/>
    <col min="773" max="773" width="7.625" style="62" customWidth="1"/>
    <col min="774" max="774" width="8.125" style="62" bestFit="1" customWidth="1"/>
    <col min="775" max="775" width="9.625" style="62" customWidth="1"/>
    <col min="776" max="776" width="16.375" style="62" customWidth="1"/>
    <col min="777" max="777" width="10.875" style="62" customWidth="1"/>
    <col min="778" max="778" width="16.375" style="62" bestFit="1" customWidth="1"/>
    <col min="779" max="779" width="59.5" style="62" customWidth="1"/>
    <col min="780" max="780" width="2.125" style="62" customWidth="1"/>
    <col min="781" max="1024" width="9.125" style="62" customWidth="1"/>
    <col min="1025" max="1025" width="1.875" style="62" customWidth="1"/>
    <col min="1026" max="1026" width="7.125" style="62" customWidth="1"/>
    <col min="1027" max="1027" width="13" style="62" hidden="1" customWidth="1"/>
    <col min="1028" max="1028" width="7.5" style="62" customWidth="1"/>
    <col min="1029" max="1029" width="7.625" style="62" customWidth="1"/>
    <col min="1030" max="1030" width="8.125" style="62" bestFit="1" customWidth="1"/>
    <col min="1031" max="1031" width="9.625" style="62" customWidth="1"/>
    <col min="1032" max="1032" width="16.375" style="62" customWidth="1"/>
    <col min="1033" max="1033" width="10.875" style="62" customWidth="1"/>
    <col min="1034" max="1034" width="16.375" style="62" bestFit="1" customWidth="1"/>
    <col min="1035" max="1035" width="59.5" style="62" customWidth="1"/>
    <col min="1036" max="1036" width="2.125" style="62" customWidth="1"/>
    <col min="1037" max="1280" width="9.125" style="62" customWidth="1"/>
    <col min="1281" max="1281" width="1.875" style="62" customWidth="1"/>
    <col min="1282" max="1282" width="7.125" style="62" customWidth="1"/>
    <col min="1283" max="1283" width="13" style="62" hidden="1" customWidth="1"/>
    <col min="1284" max="1284" width="7.5" style="62" customWidth="1"/>
    <col min="1285" max="1285" width="7.625" style="62" customWidth="1"/>
    <col min="1286" max="1286" width="8.125" style="62" bestFit="1" customWidth="1"/>
    <col min="1287" max="1287" width="9.625" style="62" customWidth="1"/>
    <col min="1288" max="1288" width="16.375" style="62" customWidth="1"/>
    <col min="1289" max="1289" width="10.875" style="62" customWidth="1"/>
    <col min="1290" max="1290" width="16.375" style="62" bestFit="1" customWidth="1"/>
    <col min="1291" max="1291" width="59.5" style="62" customWidth="1"/>
    <col min="1292" max="1292" width="2.125" style="62" customWidth="1"/>
    <col min="1293" max="1536" width="9.125" style="62" customWidth="1"/>
    <col min="1537" max="1537" width="1.875" style="62" customWidth="1"/>
    <col min="1538" max="1538" width="7.125" style="62" customWidth="1"/>
    <col min="1539" max="1539" width="13" style="62" hidden="1" customWidth="1"/>
    <col min="1540" max="1540" width="7.5" style="62" customWidth="1"/>
    <col min="1541" max="1541" width="7.625" style="62" customWidth="1"/>
    <col min="1542" max="1542" width="8.125" style="62" bestFit="1" customWidth="1"/>
    <col min="1543" max="1543" width="9.625" style="62" customWidth="1"/>
    <col min="1544" max="1544" width="16.375" style="62" customWidth="1"/>
    <col min="1545" max="1545" width="10.875" style="62" customWidth="1"/>
    <col min="1546" max="1546" width="16.375" style="62" bestFit="1" customWidth="1"/>
    <col min="1547" max="1547" width="59.5" style="62" customWidth="1"/>
    <col min="1548" max="1548" width="2.125" style="62" customWidth="1"/>
    <col min="1549" max="1792" width="9.125" style="62" customWidth="1"/>
    <col min="1793" max="1793" width="1.875" style="62" customWidth="1"/>
    <col min="1794" max="1794" width="7.125" style="62" customWidth="1"/>
    <col min="1795" max="1795" width="13" style="62" hidden="1" customWidth="1"/>
    <col min="1796" max="1796" width="7.5" style="62" customWidth="1"/>
    <col min="1797" max="1797" width="7.625" style="62" customWidth="1"/>
    <col min="1798" max="1798" width="8.125" style="62" bestFit="1" customWidth="1"/>
    <col min="1799" max="1799" width="9.625" style="62" customWidth="1"/>
    <col min="1800" max="1800" width="16.375" style="62" customWidth="1"/>
    <col min="1801" max="1801" width="10.875" style="62" customWidth="1"/>
    <col min="1802" max="1802" width="16.375" style="62" bestFit="1" customWidth="1"/>
    <col min="1803" max="1803" width="59.5" style="62" customWidth="1"/>
    <col min="1804" max="1804" width="2.125" style="62" customWidth="1"/>
    <col min="1805" max="2048" width="9.125" style="62" customWidth="1"/>
    <col min="2049" max="2049" width="1.875" style="62" customWidth="1"/>
    <col min="2050" max="2050" width="7.125" style="62" customWidth="1"/>
    <col min="2051" max="2051" width="13" style="62" hidden="1" customWidth="1"/>
    <col min="2052" max="2052" width="7.5" style="62" customWidth="1"/>
    <col min="2053" max="2053" width="7.625" style="62" customWidth="1"/>
    <col min="2054" max="2054" width="8.125" style="62" bestFit="1" customWidth="1"/>
    <col min="2055" max="2055" width="9.625" style="62" customWidth="1"/>
    <col min="2056" max="2056" width="16.375" style="62" customWidth="1"/>
    <col min="2057" max="2057" width="10.875" style="62" customWidth="1"/>
    <col min="2058" max="2058" width="16.375" style="62" bestFit="1" customWidth="1"/>
    <col min="2059" max="2059" width="59.5" style="62" customWidth="1"/>
    <col min="2060" max="2060" width="2.125" style="62" customWidth="1"/>
    <col min="2061" max="2304" width="9.125" style="62" customWidth="1"/>
    <col min="2305" max="2305" width="1.875" style="62" customWidth="1"/>
    <col min="2306" max="2306" width="7.125" style="62" customWidth="1"/>
    <col min="2307" max="2307" width="13" style="62" hidden="1" customWidth="1"/>
    <col min="2308" max="2308" width="7.5" style="62" customWidth="1"/>
    <col min="2309" max="2309" width="7.625" style="62" customWidth="1"/>
    <col min="2310" max="2310" width="8.125" style="62" bestFit="1" customWidth="1"/>
    <col min="2311" max="2311" width="9.625" style="62" customWidth="1"/>
    <col min="2312" max="2312" width="16.375" style="62" customWidth="1"/>
    <col min="2313" max="2313" width="10.875" style="62" customWidth="1"/>
    <col min="2314" max="2314" width="16.375" style="62" bestFit="1" customWidth="1"/>
    <col min="2315" max="2315" width="59.5" style="62" customWidth="1"/>
    <col min="2316" max="2316" width="2.125" style="62" customWidth="1"/>
    <col min="2317" max="2560" width="9.125" style="62" customWidth="1"/>
    <col min="2561" max="2561" width="1.875" style="62" customWidth="1"/>
    <col min="2562" max="2562" width="7.125" style="62" customWidth="1"/>
    <col min="2563" max="2563" width="13" style="62" hidden="1" customWidth="1"/>
    <col min="2564" max="2564" width="7.5" style="62" customWidth="1"/>
    <col min="2565" max="2565" width="7.625" style="62" customWidth="1"/>
    <col min="2566" max="2566" width="8.125" style="62" bestFit="1" customWidth="1"/>
    <col min="2567" max="2567" width="9.625" style="62" customWidth="1"/>
    <col min="2568" max="2568" width="16.375" style="62" customWidth="1"/>
    <col min="2569" max="2569" width="10.875" style="62" customWidth="1"/>
    <col min="2570" max="2570" width="16.375" style="62" bestFit="1" customWidth="1"/>
    <col min="2571" max="2571" width="59.5" style="62" customWidth="1"/>
    <col min="2572" max="2572" width="2.125" style="62" customWidth="1"/>
    <col min="2573" max="2816" width="9.125" style="62" customWidth="1"/>
    <col min="2817" max="2817" width="1.875" style="62" customWidth="1"/>
    <col min="2818" max="2818" width="7.125" style="62" customWidth="1"/>
    <col min="2819" max="2819" width="13" style="62" hidden="1" customWidth="1"/>
    <col min="2820" max="2820" width="7.5" style="62" customWidth="1"/>
    <col min="2821" max="2821" width="7.625" style="62" customWidth="1"/>
    <col min="2822" max="2822" width="8.125" style="62" bestFit="1" customWidth="1"/>
    <col min="2823" max="2823" width="9.625" style="62" customWidth="1"/>
    <col min="2824" max="2824" width="16.375" style="62" customWidth="1"/>
    <col min="2825" max="2825" width="10.875" style="62" customWidth="1"/>
    <col min="2826" max="2826" width="16.375" style="62" bestFit="1" customWidth="1"/>
    <col min="2827" max="2827" width="59.5" style="62" customWidth="1"/>
    <col min="2828" max="2828" width="2.125" style="62" customWidth="1"/>
    <col min="2829" max="3072" width="9.125" style="62" customWidth="1"/>
    <col min="3073" max="3073" width="1.875" style="62" customWidth="1"/>
    <col min="3074" max="3074" width="7.125" style="62" customWidth="1"/>
    <col min="3075" max="3075" width="13" style="62" hidden="1" customWidth="1"/>
    <col min="3076" max="3076" width="7.5" style="62" customWidth="1"/>
    <col min="3077" max="3077" width="7.625" style="62" customWidth="1"/>
    <col min="3078" max="3078" width="8.125" style="62" bestFit="1" customWidth="1"/>
    <col min="3079" max="3079" width="9.625" style="62" customWidth="1"/>
    <col min="3080" max="3080" width="16.375" style="62" customWidth="1"/>
    <col min="3081" max="3081" width="10.875" style="62" customWidth="1"/>
    <col min="3082" max="3082" width="16.375" style="62" bestFit="1" customWidth="1"/>
    <col min="3083" max="3083" width="59.5" style="62" customWidth="1"/>
    <col min="3084" max="3084" width="2.125" style="62" customWidth="1"/>
    <col min="3085" max="3328" width="9.125" style="62" customWidth="1"/>
    <col min="3329" max="3329" width="1.875" style="62" customWidth="1"/>
    <col min="3330" max="3330" width="7.125" style="62" customWidth="1"/>
    <col min="3331" max="3331" width="13" style="62" hidden="1" customWidth="1"/>
    <col min="3332" max="3332" width="7.5" style="62" customWidth="1"/>
    <col min="3333" max="3333" width="7.625" style="62" customWidth="1"/>
    <col min="3334" max="3334" width="8.125" style="62" bestFit="1" customWidth="1"/>
    <col min="3335" max="3335" width="9.625" style="62" customWidth="1"/>
    <col min="3336" max="3336" width="16.375" style="62" customWidth="1"/>
    <col min="3337" max="3337" width="10.875" style="62" customWidth="1"/>
    <col min="3338" max="3338" width="16.375" style="62" bestFit="1" customWidth="1"/>
    <col min="3339" max="3339" width="59.5" style="62" customWidth="1"/>
    <col min="3340" max="3340" width="2.125" style="62" customWidth="1"/>
    <col min="3341" max="3584" width="9.125" style="62" customWidth="1"/>
    <col min="3585" max="3585" width="1.875" style="62" customWidth="1"/>
    <col min="3586" max="3586" width="7.125" style="62" customWidth="1"/>
    <col min="3587" max="3587" width="13" style="62" hidden="1" customWidth="1"/>
    <col min="3588" max="3588" width="7.5" style="62" customWidth="1"/>
    <col min="3589" max="3589" width="7.625" style="62" customWidth="1"/>
    <col min="3590" max="3590" width="8.125" style="62" bestFit="1" customWidth="1"/>
    <col min="3591" max="3591" width="9.625" style="62" customWidth="1"/>
    <col min="3592" max="3592" width="16.375" style="62" customWidth="1"/>
    <col min="3593" max="3593" width="10.875" style="62" customWidth="1"/>
    <col min="3594" max="3594" width="16.375" style="62" bestFit="1" customWidth="1"/>
    <col min="3595" max="3595" width="59.5" style="62" customWidth="1"/>
    <col min="3596" max="3596" width="2.125" style="62" customWidth="1"/>
    <col min="3597" max="3840" width="9.125" style="62" customWidth="1"/>
    <col min="3841" max="3841" width="1.875" style="62" customWidth="1"/>
    <col min="3842" max="3842" width="7.125" style="62" customWidth="1"/>
    <col min="3843" max="3843" width="13" style="62" hidden="1" customWidth="1"/>
    <col min="3844" max="3844" width="7.5" style="62" customWidth="1"/>
    <col min="3845" max="3845" width="7.625" style="62" customWidth="1"/>
    <col min="3846" max="3846" width="8.125" style="62" bestFit="1" customWidth="1"/>
    <col min="3847" max="3847" width="9.625" style="62" customWidth="1"/>
    <col min="3848" max="3848" width="16.375" style="62" customWidth="1"/>
    <col min="3849" max="3849" width="10.875" style="62" customWidth="1"/>
    <col min="3850" max="3850" width="16.375" style="62" bestFit="1" customWidth="1"/>
    <col min="3851" max="3851" width="59.5" style="62" customWidth="1"/>
    <col min="3852" max="3852" width="2.125" style="62" customWidth="1"/>
    <col min="3853" max="4096" width="9.125" style="62" customWidth="1"/>
    <col min="4097" max="4097" width="1.875" style="62" customWidth="1"/>
    <col min="4098" max="4098" width="7.125" style="62" customWidth="1"/>
    <col min="4099" max="4099" width="13" style="62" hidden="1" customWidth="1"/>
    <col min="4100" max="4100" width="7.5" style="62" customWidth="1"/>
    <col min="4101" max="4101" width="7.625" style="62" customWidth="1"/>
    <col min="4102" max="4102" width="8.125" style="62" bestFit="1" customWidth="1"/>
    <col min="4103" max="4103" width="9.625" style="62" customWidth="1"/>
    <col min="4104" max="4104" width="16.375" style="62" customWidth="1"/>
    <col min="4105" max="4105" width="10.875" style="62" customWidth="1"/>
    <col min="4106" max="4106" width="16.375" style="62" bestFit="1" customWidth="1"/>
    <col min="4107" max="4107" width="59.5" style="62" customWidth="1"/>
    <col min="4108" max="4108" width="2.125" style="62" customWidth="1"/>
    <col min="4109" max="4352" width="9.125" style="62" customWidth="1"/>
    <col min="4353" max="4353" width="1.875" style="62" customWidth="1"/>
    <col min="4354" max="4354" width="7.125" style="62" customWidth="1"/>
    <col min="4355" max="4355" width="13" style="62" hidden="1" customWidth="1"/>
    <col min="4356" max="4356" width="7.5" style="62" customWidth="1"/>
    <col min="4357" max="4357" width="7.625" style="62" customWidth="1"/>
    <col min="4358" max="4358" width="8.125" style="62" bestFit="1" customWidth="1"/>
    <col min="4359" max="4359" width="9.625" style="62" customWidth="1"/>
    <col min="4360" max="4360" width="16.375" style="62" customWidth="1"/>
    <col min="4361" max="4361" width="10.875" style="62" customWidth="1"/>
    <col min="4362" max="4362" width="16.375" style="62" bestFit="1" customWidth="1"/>
    <col min="4363" max="4363" width="59.5" style="62" customWidth="1"/>
    <col min="4364" max="4364" width="2.125" style="62" customWidth="1"/>
    <col min="4365" max="4608" width="9.125" style="62" customWidth="1"/>
    <col min="4609" max="4609" width="1.875" style="62" customWidth="1"/>
    <col min="4610" max="4610" width="7.125" style="62" customWidth="1"/>
    <col min="4611" max="4611" width="13" style="62" hidden="1" customWidth="1"/>
    <col min="4612" max="4612" width="7.5" style="62" customWidth="1"/>
    <col min="4613" max="4613" width="7.625" style="62" customWidth="1"/>
    <col min="4614" max="4614" width="8.125" style="62" bestFit="1" customWidth="1"/>
    <col min="4615" max="4615" width="9.625" style="62" customWidth="1"/>
    <col min="4616" max="4616" width="16.375" style="62" customWidth="1"/>
    <col min="4617" max="4617" width="10.875" style="62" customWidth="1"/>
    <col min="4618" max="4618" width="16.375" style="62" bestFit="1" customWidth="1"/>
    <col min="4619" max="4619" width="59.5" style="62" customWidth="1"/>
    <col min="4620" max="4620" width="2.125" style="62" customWidth="1"/>
    <col min="4621" max="4864" width="9.125" style="62" customWidth="1"/>
    <col min="4865" max="4865" width="1.875" style="62" customWidth="1"/>
    <col min="4866" max="4866" width="7.125" style="62" customWidth="1"/>
    <col min="4867" max="4867" width="13" style="62" hidden="1" customWidth="1"/>
    <col min="4868" max="4868" width="7.5" style="62" customWidth="1"/>
    <col min="4869" max="4869" width="7.625" style="62" customWidth="1"/>
    <col min="4870" max="4870" width="8.125" style="62" bestFit="1" customWidth="1"/>
    <col min="4871" max="4871" width="9.625" style="62" customWidth="1"/>
    <col min="4872" max="4872" width="16.375" style="62" customWidth="1"/>
    <col min="4873" max="4873" width="10.875" style="62" customWidth="1"/>
    <col min="4874" max="4874" width="16.375" style="62" bestFit="1" customWidth="1"/>
    <col min="4875" max="4875" width="59.5" style="62" customWidth="1"/>
    <col min="4876" max="4876" width="2.125" style="62" customWidth="1"/>
    <col min="4877" max="5120" width="9.125" style="62" customWidth="1"/>
    <col min="5121" max="5121" width="1.875" style="62" customWidth="1"/>
    <col min="5122" max="5122" width="7.125" style="62" customWidth="1"/>
    <col min="5123" max="5123" width="13" style="62" hidden="1" customWidth="1"/>
    <col min="5124" max="5124" width="7.5" style="62" customWidth="1"/>
    <col min="5125" max="5125" width="7.625" style="62" customWidth="1"/>
    <col min="5126" max="5126" width="8.125" style="62" bestFit="1" customWidth="1"/>
    <col min="5127" max="5127" width="9.625" style="62" customWidth="1"/>
    <col min="5128" max="5128" width="16.375" style="62" customWidth="1"/>
    <col min="5129" max="5129" width="10.875" style="62" customWidth="1"/>
    <col min="5130" max="5130" width="16.375" style="62" bestFit="1" customWidth="1"/>
    <col min="5131" max="5131" width="59.5" style="62" customWidth="1"/>
    <col min="5132" max="5132" width="2.125" style="62" customWidth="1"/>
    <col min="5133" max="5376" width="9.125" style="62" customWidth="1"/>
    <col min="5377" max="5377" width="1.875" style="62" customWidth="1"/>
    <col min="5378" max="5378" width="7.125" style="62" customWidth="1"/>
    <col min="5379" max="5379" width="13" style="62" hidden="1" customWidth="1"/>
    <col min="5380" max="5380" width="7.5" style="62" customWidth="1"/>
    <col min="5381" max="5381" width="7.625" style="62" customWidth="1"/>
    <col min="5382" max="5382" width="8.125" style="62" bestFit="1" customWidth="1"/>
    <col min="5383" max="5383" width="9.625" style="62" customWidth="1"/>
    <col min="5384" max="5384" width="16.375" style="62" customWidth="1"/>
    <col min="5385" max="5385" width="10.875" style="62" customWidth="1"/>
    <col min="5386" max="5386" width="16.375" style="62" bestFit="1" customWidth="1"/>
    <col min="5387" max="5387" width="59.5" style="62" customWidth="1"/>
    <col min="5388" max="5388" width="2.125" style="62" customWidth="1"/>
    <col min="5389" max="5632" width="9.125" style="62" customWidth="1"/>
    <col min="5633" max="5633" width="1.875" style="62" customWidth="1"/>
    <col min="5634" max="5634" width="7.125" style="62" customWidth="1"/>
    <col min="5635" max="5635" width="13" style="62" hidden="1" customWidth="1"/>
    <col min="5636" max="5636" width="7.5" style="62" customWidth="1"/>
    <col min="5637" max="5637" width="7.625" style="62" customWidth="1"/>
    <col min="5638" max="5638" width="8.125" style="62" bestFit="1" customWidth="1"/>
    <col min="5639" max="5639" width="9.625" style="62" customWidth="1"/>
    <col min="5640" max="5640" width="16.375" style="62" customWidth="1"/>
    <col min="5641" max="5641" width="10.875" style="62" customWidth="1"/>
    <col min="5642" max="5642" width="16.375" style="62" bestFit="1" customWidth="1"/>
    <col min="5643" max="5643" width="59.5" style="62" customWidth="1"/>
    <col min="5644" max="5644" width="2.125" style="62" customWidth="1"/>
    <col min="5645" max="5888" width="9.125" style="62" customWidth="1"/>
    <col min="5889" max="5889" width="1.875" style="62" customWidth="1"/>
    <col min="5890" max="5890" width="7.125" style="62" customWidth="1"/>
    <col min="5891" max="5891" width="13" style="62" hidden="1" customWidth="1"/>
    <col min="5892" max="5892" width="7.5" style="62" customWidth="1"/>
    <col min="5893" max="5893" width="7.625" style="62" customWidth="1"/>
    <col min="5894" max="5894" width="8.125" style="62" bestFit="1" customWidth="1"/>
    <col min="5895" max="5895" width="9.625" style="62" customWidth="1"/>
    <col min="5896" max="5896" width="16.375" style="62" customWidth="1"/>
    <col min="5897" max="5897" width="10.875" style="62" customWidth="1"/>
    <col min="5898" max="5898" width="16.375" style="62" bestFit="1" customWidth="1"/>
    <col min="5899" max="5899" width="59.5" style="62" customWidth="1"/>
    <col min="5900" max="5900" width="2.125" style="62" customWidth="1"/>
    <col min="5901" max="6144" width="9.125" style="62" customWidth="1"/>
    <col min="6145" max="6145" width="1.875" style="62" customWidth="1"/>
    <col min="6146" max="6146" width="7.125" style="62" customWidth="1"/>
    <col min="6147" max="6147" width="13" style="62" hidden="1" customWidth="1"/>
    <col min="6148" max="6148" width="7.5" style="62" customWidth="1"/>
    <col min="6149" max="6149" width="7.625" style="62" customWidth="1"/>
    <col min="6150" max="6150" width="8.125" style="62" bestFit="1" customWidth="1"/>
    <col min="6151" max="6151" width="9.625" style="62" customWidth="1"/>
    <col min="6152" max="6152" width="16.375" style="62" customWidth="1"/>
    <col min="6153" max="6153" width="10.875" style="62" customWidth="1"/>
    <col min="6154" max="6154" width="16.375" style="62" bestFit="1" customWidth="1"/>
    <col min="6155" max="6155" width="59.5" style="62" customWidth="1"/>
    <col min="6156" max="6156" width="2.125" style="62" customWidth="1"/>
    <col min="6157" max="6400" width="9.125" style="62" customWidth="1"/>
    <col min="6401" max="6401" width="1.875" style="62" customWidth="1"/>
    <col min="6402" max="6402" width="7.125" style="62" customWidth="1"/>
    <col min="6403" max="6403" width="13" style="62" hidden="1" customWidth="1"/>
    <col min="6404" max="6404" width="7.5" style="62" customWidth="1"/>
    <col min="6405" max="6405" width="7.625" style="62" customWidth="1"/>
    <col min="6406" max="6406" width="8.125" style="62" bestFit="1" customWidth="1"/>
    <col min="6407" max="6407" width="9.625" style="62" customWidth="1"/>
    <col min="6408" max="6408" width="16.375" style="62" customWidth="1"/>
    <col min="6409" max="6409" width="10.875" style="62" customWidth="1"/>
    <col min="6410" max="6410" width="16.375" style="62" bestFit="1" customWidth="1"/>
    <col min="6411" max="6411" width="59.5" style="62" customWidth="1"/>
    <col min="6412" max="6412" width="2.125" style="62" customWidth="1"/>
    <col min="6413" max="6656" width="9.125" style="62" customWidth="1"/>
    <col min="6657" max="6657" width="1.875" style="62" customWidth="1"/>
    <col min="6658" max="6658" width="7.125" style="62" customWidth="1"/>
    <col min="6659" max="6659" width="13" style="62" hidden="1" customWidth="1"/>
    <col min="6660" max="6660" width="7.5" style="62" customWidth="1"/>
    <col min="6661" max="6661" width="7.625" style="62" customWidth="1"/>
    <col min="6662" max="6662" width="8.125" style="62" bestFit="1" customWidth="1"/>
    <col min="6663" max="6663" width="9.625" style="62" customWidth="1"/>
    <col min="6664" max="6664" width="16.375" style="62" customWidth="1"/>
    <col min="6665" max="6665" width="10.875" style="62" customWidth="1"/>
    <col min="6666" max="6666" width="16.375" style="62" bestFit="1" customWidth="1"/>
    <col min="6667" max="6667" width="59.5" style="62" customWidth="1"/>
    <col min="6668" max="6668" width="2.125" style="62" customWidth="1"/>
    <col min="6669" max="6912" width="9.125" style="62" customWidth="1"/>
    <col min="6913" max="6913" width="1.875" style="62" customWidth="1"/>
    <col min="6914" max="6914" width="7.125" style="62" customWidth="1"/>
    <col min="6915" max="6915" width="13" style="62" hidden="1" customWidth="1"/>
    <col min="6916" max="6916" width="7.5" style="62" customWidth="1"/>
    <col min="6917" max="6917" width="7.625" style="62" customWidth="1"/>
    <col min="6918" max="6918" width="8.125" style="62" bestFit="1" customWidth="1"/>
    <col min="6919" max="6919" width="9.625" style="62" customWidth="1"/>
    <col min="6920" max="6920" width="16.375" style="62" customWidth="1"/>
    <col min="6921" max="6921" width="10.875" style="62" customWidth="1"/>
    <col min="6922" max="6922" width="16.375" style="62" bestFit="1" customWidth="1"/>
    <col min="6923" max="6923" width="59.5" style="62" customWidth="1"/>
    <col min="6924" max="6924" width="2.125" style="62" customWidth="1"/>
    <col min="6925" max="7168" width="9.125" style="62" customWidth="1"/>
    <col min="7169" max="7169" width="1.875" style="62" customWidth="1"/>
    <col min="7170" max="7170" width="7.125" style="62" customWidth="1"/>
    <col min="7171" max="7171" width="13" style="62" hidden="1" customWidth="1"/>
    <col min="7172" max="7172" width="7.5" style="62" customWidth="1"/>
    <col min="7173" max="7173" width="7.625" style="62" customWidth="1"/>
    <col min="7174" max="7174" width="8.125" style="62" bestFit="1" customWidth="1"/>
    <col min="7175" max="7175" width="9.625" style="62" customWidth="1"/>
    <col min="7176" max="7176" width="16.375" style="62" customWidth="1"/>
    <col min="7177" max="7177" width="10.875" style="62" customWidth="1"/>
    <col min="7178" max="7178" width="16.375" style="62" bestFit="1" customWidth="1"/>
    <col min="7179" max="7179" width="59.5" style="62" customWidth="1"/>
    <col min="7180" max="7180" width="2.125" style="62" customWidth="1"/>
    <col min="7181" max="7424" width="9.125" style="62" customWidth="1"/>
    <col min="7425" max="7425" width="1.875" style="62" customWidth="1"/>
    <col min="7426" max="7426" width="7.125" style="62" customWidth="1"/>
    <col min="7427" max="7427" width="13" style="62" hidden="1" customWidth="1"/>
    <col min="7428" max="7428" width="7.5" style="62" customWidth="1"/>
    <col min="7429" max="7429" width="7.625" style="62" customWidth="1"/>
    <col min="7430" max="7430" width="8.125" style="62" bestFit="1" customWidth="1"/>
    <col min="7431" max="7431" width="9.625" style="62" customWidth="1"/>
    <col min="7432" max="7432" width="16.375" style="62" customWidth="1"/>
    <col min="7433" max="7433" width="10.875" style="62" customWidth="1"/>
    <col min="7434" max="7434" width="16.375" style="62" bestFit="1" customWidth="1"/>
    <col min="7435" max="7435" width="59.5" style="62" customWidth="1"/>
    <col min="7436" max="7436" width="2.125" style="62" customWidth="1"/>
    <col min="7437" max="7680" width="9.125" style="62" customWidth="1"/>
    <col min="7681" max="7681" width="1.875" style="62" customWidth="1"/>
    <col min="7682" max="7682" width="7.125" style="62" customWidth="1"/>
    <col min="7683" max="7683" width="13" style="62" hidden="1" customWidth="1"/>
    <col min="7684" max="7684" width="7.5" style="62" customWidth="1"/>
    <col min="7685" max="7685" width="7.625" style="62" customWidth="1"/>
    <col min="7686" max="7686" width="8.125" style="62" bestFit="1" customWidth="1"/>
    <col min="7687" max="7687" width="9.625" style="62" customWidth="1"/>
    <col min="7688" max="7688" width="16.375" style="62" customWidth="1"/>
    <col min="7689" max="7689" width="10.875" style="62" customWidth="1"/>
    <col min="7690" max="7690" width="16.375" style="62" bestFit="1" customWidth="1"/>
    <col min="7691" max="7691" width="59.5" style="62" customWidth="1"/>
    <col min="7692" max="7692" width="2.125" style="62" customWidth="1"/>
    <col min="7693" max="7936" width="9.125" style="62" customWidth="1"/>
    <col min="7937" max="7937" width="1.875" style="62" customWidth="1"/>
    <col min="7938" max="7938" width="7.125" style="62" customWidth="1"/>
    <col min="7939" max="7939" width="13" style="62" hidden="1" customWidth="1"/>
    <col min="7940" max="7940" width="7.5" style="62" customWidth="1"/>
    <col min="7941" max="7941" width="7.625" style="62" customWidth="1"/>
    <col min="7942" max="7942" width="8.125" style="62" bestFit="1" customWidth="1"/>
    <col min="7943" max="7943" width="9.625" style="62" customWidth="1"/>
    <col min="7944" max="7944" width="16.375" style="62" customWidth="1"/>
    <col min="7945" max="7945" width="10.875" style="62" customWidth="1"/>
    <col min="7946" max="7946" width="16.375" style="62" bestFit="1" customWidth="1"/>
    <col min="7947" max="7947" width="59.5" style="62" customWidth="1"/>
    <col min="7948" max="7948" width="2.125" style="62" customWidth="1"/>
    <col min="7949" max="8192" width="9.125" style="62" customWidth="1"/>
    <col min="8193" max="8193" width="1.875" style="62" customWidth="1"/>
    <col min="8194" max="8194" width="7.125" style="62" customWidth="1"/>
    <col min="8195" max="8195" width="13" style="62" hidden="1" customWidth="1"/>
    <col min="8196" max="8196" width="7.5" style="62" customWidth="1"/>
    <col min="8197" max="8197" width="7.625" style="62" customWidth="1"/>
    <col min="8198" max="8198" width="8.125" style="62" bestFit="1" customWidth="1"/>
    <col min="8199" max="8199" width="9.625" style="62" customWidth="1"/>
    <col min="8200" max="8200" width="16.375" style="62" customWidth="1"/>
    <col min="8201" max="8201" width="10.875" style="62" customWidth="1"/>
    <col min="8202" max="8202" width="16.375" style="62" bestFit="1" customWidth="1"/>
    <col min="8203" max="8203" width="59.5" style="62" customWidth="1"/>
    <col min="8204" max="8204" width="2.125" style="62" customWidth="1"/>
    <col min="8205" max="8448" width="9.125" style="62" customWidth="1"/>
    <col min="8449" max="8449" width="1.875" style="62" customWidth="1"/>
    <col min="8450" max="8450" width="7.125" style="62" customWidth="1"/>
    <col min="8451" max="8451" width="13" style="62" hidden="1" customWidth="1"/>
    <col min="8452" max="8452" width="7.5" style="62" customWidth="1"/>
    <col min="8453" max="8453" width="7.625" style="62" customWidth="1"/>
    <col min="8454" max="8454" width="8.125" style="62" bestFit="1" customWidth="1"/>
    <col min="8455" max="8455" width="9.625" style="62" customWidth="1"/>
    <col min="8456" max="8456" width="16.375" style="62" customWidth="1"/>
    <col min="8457" max="8457" width="10.875" style="62" customWidth="1"/>
    <col min="8458" max="8458" width="16.375" style="62" bestFit="1" customWidth="1"/>
    <col min="8459" max="8459" width="59.5" style="62" customWidth="1"/>
    <col min="8460" max="8460" width="2.125" style="62" customWidth="1"/>
    <col min="8461" max="8704" width="9.125" style="62" customWidth="1"/>
    <col min="8705" max="8705" width="1.875" style="62" customWidth="1"/>
    <col min="8706" max="8706" width="7.125" style="62" customWidth="1"/>
    <col min="8707" max="8707" width="13" style="62" hidden="1" customWidth="1"/>
    <col min="8708" max="8708" width="7.5" style="62" customWidth="1"/>
    <col min="8709" max="8709" width="7.625" style="62" customWidth="1"/>
    <col min="8710" max="8710" width="8.125" style="62" bestFit="1" customWidth="1"/>
    <col min="8711" max="8711" width="9.625" style="62" customWidth="1"/>
    <col min="8712" max="8712" width="16.375" style="62" customWidth="1"/>
    <col min="8713" max="8713" width="10.875" style="62" customWidth="1"/>
    <col min="8714" max="8714" width="16.375" style="62" bestFit="1" customWidth="1"/>
    <col min="8715" max="8715" width="59.5" style="62" customWidth="1"/>
    <col min="8716" max="8716" width="2.125" style="62" customWidth="1"/>
    <col min="8717" max="8960" width="9.125" style="62" customWidth="1"/>
    <col min="8961" max="8961" width="1.875" style="62" customWidth="1"/>
    <col min="8962" max="8962" width="7.125" style="62" customWidth="1"/>
    <col min="8963" max="8963" width="13" style="62" hidden="1" customWidth="1"/>
    <col min="8964" max="8964" width="7.5" style="62" customWidth="1"/>
    <col min="8965" max="8965" width="7.625" style="62" customWidth="1"/>
    <col min="8966" max="8966" width="8.125" style="62" bestFit="1" customWidth="1"/>
    <col min="8967" max="8967" width="9.625" style="62" customWidth="1"/>
    <col min="8968" max="8968" width="16.375" style="62" customWidth="1"/>
    <col min="8969" max="8969" width="10.875" style="62" customWidth="1"/>
    <col min="8970" max="8970" width="16.375" style="62" bestFit="1" customWidth="1"/>
    <col min="8971" max="8971" width="59.5" style="62" customWidth="1"/>
    <col min="8972" max="8972" width="2.125" style="62" customWidth="1"/>
    <col min="8973" max="9216" width="9.125" style="62" customWidth="1"/>
    <col min="9217" max="9217" width="1.875" style="62" customWidth="1"/>
    <col min="9218" max="9218" width="7.125" style="62" customWidth="1"/>
    <col min="9219" max="9219" width="13" style="62" hidden="1" customWidth="1"/>
    <col min="9220" max="9220" width="7.5" style="62" customWidth="1"/>
    <col min="9221" max="9221" width="7.625" style="62" customWidth="1"/>
    <col min="9222" max="9222" width="8.125" style="62" bestFit="1" customWidth="1"/>
    <col min="9223" max="9223" width="9.625" style="62" customWidth="1"/>
    <col min="9224" max="9224" width="16.375" style="62" customWidth="1"/>
    <col min="9225" max="9225" width="10.875" style="62" customWidth="1"/>
    <col min="9226" max="9226" width="16.375" style="62" bestFit="1" customWidth="1"/>
    <col min="9227" max="9227" width="59.5" style="62" customWidth="1"/>
    <col min="9228" max="9228" width="2.125" style="62" customWidth="1"/>
    <col min="9229" max="9472" width="9.125" style="62" customWidth="1"/>
    <col min="9473" max="9473" width="1.875" style="62" customWidth="1"/>
    <col min="9474" max="9474" width="7.125" style="62" customWidth="1"/>
    <col min="9475" max="9475" width="13" style="62" hidden="1" customWidth="1"/>
    <col min="9476" max="9476" width="7.5" style="62" customWidth="1"/>
    <col min="9477" max="9477" width="7.625" style="62" customWidth="1"/>
    <col min="9478" max="9478" width="8.125" style="62" bestFit="1" customWidth="1"/>
    <col min="9479" max="9479" width="9.625" style="62" customWidth="1"/>
    <col min="9480" max="9480" width="16.375" style="62" customWidth="1"/>
    <col min="9481" max="9481" width="10.875" style="62" customWidth="1"/>
    <col min="9482" max="9482" width="16.375" style="62" bestFit="1" customWidth="1"/>
    <col min="9483" max="9483" width="59.5" style="62" customWidth="1"/>
    <col min="9484" max="9484" width="2.125" style="62" customWidth="1"/>
    <col min="9485" max="9728" width="9.125" style="62" customWidth="1"/>
    <col min="9729" max="9729" width="1.875" style="62" customWidth="1"/>
    <col min="9730" max="9730" width="7.125" style="62" customWidth="1"/>
    <col min="9731" max="9731" width="13" style="62" hidden="1" customWidth="1"/>
    <col min="9732" max="9732" width="7.5" style="62" customWidth="1"/>
    <col min="9733" max="9733" width="7.625" style="62" customWidth="1"/>
    <col min="9734" max="9734" width="8.125" style="62" bestFit="1" customWidth="1"/>
    <col min="9735" max="9735" width="9.625" style="62" customWidth="1"/>
    <col min="9736" max="9736" width="16.375" style="62" customWidth="1"/>
    <col min="9737" max="9737" width="10.875" style="62" customWidth="1"/>
    <col min="9738" max="9738" width="16.375" style="62" bestFit="1" customWidth="1"/>
    <col min="9739" max="9739" width="59.5" style="62" customWidth="1"/>
    <col min="9740" max="9740" width="2.125" style="62" customWidth="1"/>
    <col min="9741" max="9984" width="9.125" style="62" customWidth="1"/>
    <col min="9985" max="9985" width="1.875" style="62" customWidth="1"/>
    <col min="9986" max="9986" width="7.125" style="62" customWidth="1"/>
    <col min="9987" max="9987" width="13" style="62" hidden="1" customWidth="1"/>
    <col min="9988" max="9988" width="7.5" style="62" customWidth="1"/>
    <col min="9989" max="9989" width="7.625" style="62" customWidth="1"/>
    <col min="9990" max="9990" width="8.125" style="62" bestFit="1" customWidth="1"/>
    <col min="9991" max="9991" width="9.625" style="62" customWidth="1"/>
    <col min="9992" max="9992" width="16.375" style="62" customWidth="1"/>
    <col min="9993" max="9993" width="10.875" style="62" customWidth="1"/>
    <col min="9994" max="9994" width="16.375" style="62" bestFit="1" customWidth="1"/>
    <col min="9995" max="9995" width="59.5" style="62" customWidth="1"/>
    <col min="9996" max="9996" width="2.125" style="62" customWidth="1"/>
    <col min="9997" max="10240" width="9.125" style="62" customWidth="1"/>
    <col min="10241" max="10241" width="1.875" style="62" customWidth="1"/>
    <col min="10242" max="10242" width="7.125" style="62" customWidth="1"/>
    <col min="10243" max="10243" width="13" style="62" hidden="1" customWidth="1"/>
    <col min="10244" max="10244" width="7.5" style="62" customWidth="1"/>
    <col min="10245" max="10245" width="7.625" style="62" customWidth="1"/>
    <col min="10246" max="10246" width="8.125" style="62" bestFit="1" customWidth="1"/>
    <col min="10247" max="10247" width="9.625" style="62" customWidth="1"/>
    <col min="10248" max="10248" width="16.375" style="62" customWidth="1"/>
    <col min="10249" max="10249" width="10.875" style="62" customWidth="1"/>
    <col min="10250" max="10250" width="16.375" style="62" bestFit="1" customWidth="1"/>
    <col min="10251" max="10251" width="59.5" style="62" customWidth="1"/>
    <col min="10252" max="10252" width="2.125" style="62" customWidth="1"/>
    <col min="10253" max="10496" width="9.125" style="62" customWidth="1"/>
    <col min="10497" max="10497" width="1.875" style="62" customWidth="1"/>
    <col min="10498" max="10498" width="7.125" style="62" customWidth="1"/>
    <col min="10499" max="10499" width="13" style="62" hidden="1" customWidth="1"/>
    <col min="10500" max="10500" width="7.5" style="62" customWidth="1"/>
    <col min="10501" max="10501" width="7.625" style="62" customWidth="1"/>
    <col min="10502" max="10502" width="8.125" style="62" bestFit="1" customWidth="1"/>
    <col min="10503" max="10503" width="9.625" style="62" customWidth="1"/>
    <col min="10504" max="10504" width="16.375" style="62" customWidth="1"/>
    <col min="10505" max="10505" width="10.875" style="62" customWidth="1"/>
    <col min="10506" max="10506" width="16.375" style="62" bestFit="1" customWidth="1"/>
    <col min="10507" max="10507" width="59.5" style="62" customWidth="1"/>
    <col min="10508" max="10508" width="2.125" style="62" customWidth="1"/>
    <col min="10509" max="10752" width="9.125" style="62" customWidth="1"/>
    <col min="10753" max="10753" width="1.875" style="62" customWidth="1"/>
    <col min="10754" max="10754" width="7.125" style="62" customWidth="1"/>
    <col min="10755" max="10755" width="13" style="62" hidden="1" customWidth="1"/>
    <col min="10756" max="10756" width="7.5" style="62" customWidth="1"/>
    <col min="10757" max="10757" width="7.625" style="62" customWidth="1"/>
    <col min="10758" max="10758" width="8.125" style="62" bestFit="1" customWidth="1"/>
    <col min="10759" max="10759" width="9.625" style="62" customWidth="1"/>
    <col min="10760" max="10760" width="16.375" style="62" customWidth="1"/>
    <col min="10761" max="10761" width="10.875" style="62" customWidth="1"/>
    <col min="10762" max="10762" width="16.375" style="62" bestFit="1" customWidth="1"/>
    <col min="10763" max="10763" width="59.5" style="62" customWidth="1"/>
    <col min="10764" max="10764" width="2.125" style="62" customWidth="1"/>
    <col min="10765" max="11008" width="9.125" style="62" customWidth="1"/>
    <col min="11009" max="11009" width="1.875" style="62" customWidth="1"/>
    <col min="11010" max="11010" width="7.125" style="62" customWidth="1"/>
    <col min="11011" max="11011" width="13" style="62" hidden="1" customWidth="1"/>
    <col min="11012" max="11012" width="7.5" style="62" customWidth="1"/>
    <col min="11013" max="11013" width="7.625" style="62" customWidth="1"/>
    <col min="11014" max="11014" width="8.125" style="62" bestFit="1" customWidth="1"/>
    <col min="11015" max="11015" width="9.625" style="62" customWidth="1"/>
    <col min="11016" max="11016" width="16.375" style="62" customWidth="1"/>
    <col min="11017" max="11017" width="10.875" style="62" customWidth="1"/>
    <col min="11018" max="11018" width="16.375" style="62" bestFit="1" customWidth="1"/>
    <col min="11019" max="11019" width="59.5" style="62" customWidth="1"/>
    <col min="11020" max="11020" width="2.125" style="62" customWidth="1"/>
    <col min="11021" max="11264" width="9.125" style="62" customWidth="1"/>
    <col min="11265" max="11265" width="1.875" style="62" customWidth="1"/>
    <col min="11266" max="11266" width="7.125" style="62" customWidth="1"/>
    <col min="11267" max="11267" width="13" style="62" hidden="1" customWidth="1"/>
    <col min="11268" max="11268" width="7.5" style="62" customWidth="1"/>
    <col min="11269" max="11269" width="7.625" style="62" customWidth="1"/>
    <col min="11270" max="11270" width="8.125" style="62" bestFit="1" customWidth="1"/>
    <col min="11271" max="11271" width="9.625" style="62" customWidth="1"/>
    <col min="11272" max="11272" width="16.375" style="62" customWidth="1"/>
    <col min="11273" max="11273" width="10.875" style="62" customWidth="1"/>
    <col min="11274" max="11274" width="16.375" style="62" bestFit="1" customWidth="1"/>
    <col min="11275" max="11275" width="59.5" style="62" customWidth="1"/>
    <col min="11276" max="11276" width="2.125" style="62" customWidth="1"/>
    <col min="11277" max="11520" width="9.125" style="62" customWidth="1"/>
    <col min="11521" max="11521" width="1.875" style="62" customWidth="1"/>
    <col min="11522" max="11522" width="7.125" style="62" customWidth="1"/>
    <col min="11523" max="11523" width="13" style="62" hidden="1" customWidth="1"/>
    <col min="11524" max="11524" width="7.5" style="62" customWidth="1"/>
    <col min="11525" max="11525" width="7.625" style="62" customWidth="1"/>
    <col min="11526" max="11526" width="8.125" style="62" bestFit="1" customWidth="1"/>
    <col min="11527" max="11527" width="9.625" style="62" customWidth="1"/>
    <col min="11528" max="11528" width="16.375" style="62" customWidth="1"/>
    <col min="11529" max="11529" width="10.875" style="62" customWidth="1"/>
    <col min="11530" max="11530" width="16.375" style="62" bestFit="1" customWidth="1"/>
    <col min="11531" max="11531" width="59.5" style="62" customWidth="1"/>
    <col min="11532" max="11532" width="2.125" style="62" customWidth="1"/>
    <col min="11533" max="11776" width="9.125" style="62" customWidth="1"/>
    <col min="11777" max="11777" width="1.875" style="62" customWidth="1"/>
    <col min="11778" max="11778" width="7.125" style="62" customWidth="1"/>
    <col min="11779" max="11779" width="13" style="62" hidden="1" customWidth="1"/>
    <col min="11780" max="11780" width="7.5" style="62" customWidth="1"/>
    <col min="11781" max="11781" width="7.625" style="62" customWidth="1"/>
    <col min="11782" max="11782" width="8.125" style="62" bestFit="1" customWidth="1"/>
    <col min="11783" max="11783" width="9.625" style="62" customWidth="1"/>
    <col min="11784" max="11784" width="16.375" style="62" customWidth="1"/>
    <col min="11785" max="11785" width="10.875" style="62" customWidth="1"/>
    <col min="11786" max="11786" width="16.375" style="62" bestFit="1" customWidth="1"/>
    <col min="11787" max="11787" width="59.5" style="62" customWidth="1"/>
    <col min="11788" max="11788" width="2.125" style="62" customWidth="1"/>
    <col min="11789" max="12032" width="9.125" style="62" customWidth="1"/>
    <col min="12033" max="12033" width="1.875" style="62" customWidth="1"/>
    <col min="12034" max="12034" width="7.125" style="62" customWidth="1"/>
    <col min="12035" max="12035" width="13" style="62" hidden="1" customWidth="1"/>
    <col min="12036" max="12036" width="7.5" style="62" customWidth="1"/>
    <col min="12037" max="12037" width="7.625" style="62" customWidth="1"/>
    <col min="12038" max="12038" width="8.125" style="62" bestFit="1" customWidth="1"/>
    <col min="12039" max="12039" width="9.625" style="62" customWidth="1"/>
    <col min="12040" max="12040" width="16.375" style="62" customWidth="1"/>
    <col min="12041" max="12041" width="10.875" style="62" customWidth="1"/>
    <col min="12042" max="12042" width="16.375" style="62" bestFit="1" customWidth="1"/>
    <col min="12043" max="12043" width="59.5" style="62" customWidth="1"/>
    <col min="12044" max="12044" width="2.125" style="62" customWidth="1"/>
    <col min="12045" max="12288" width="9.125" style="62" customWidth="1"/>
    <col min="12289" max="12289" width="1.875" style="62" customWidth="1"/>
    <col min="12290" max="12290" width="7.125" style="62" customWidth="1"/>
    <col min="12291" max="12291" width="13" style="62" hidden="1" customWidth="1"/>
    <col min="12292" max="12292" width="7.5" style="62" customWidth="1"/>
    <col min="12293" max="12293" width="7.625" style="62" customWidth="1"/>
    <col min="12294" max="12294" width="8.125" style="62" bestFit="1" customWidth="1"/>
    <col min="12295" max="12295" width="9.625" style="62" customWidth="1"/>
    <col min="12296" max="12296" width="16.375" style="62" customWidth="1"/>
    <col min="12297" max="12297" width="10.875" style="62" customWidth="1"/>
    <col min="12298" max="12298" width="16.375" style="62" bestFit="1" customWidth="1"/>
    <col min="12299" max="12299" width="59.5" style="62" customWidth="1"/>
    <col min="12300" max="12300" width="2.125" style="62" customWidth="1"/>
    <col min="12301" max="12544" width="9.125" style="62" customWidth="1"/>
    <col min="12545" max="12545" width="1.875" style="62" customWidth="1"/>
    <col min="12546" max="12546" width="7.125" style="62" customWidth="1"/>
    <col min="12547" max="12547" width="13" style="62" hidden="1" customWidth="1"/>
    <col min="12548" max="12548" width="7.5" style="62" customWidth="1"/>
    <col min="12549" max="12549" width="7.625" style="62" customWidth="1"/>
    <col min="12550" max="12550" width="8.125" style="62" bestFit="1" customWidth="1"/>
    <col min="12551" max="12551" width="9.625" style="62" customWidth="1"/>
    <col min="12552" max="12552" width="16.375" style="62" customWidth="1"/>
    <col min="12553" max="12553" width="10.875" style="62" customWidth="1"/>
    <col min="12554" max="12554" width="16.375" style="62" bestFit="1" customWidth="1"/>
    <col min="12555" max="12555" width="59.5" style="62" customWidth="1"/>
    <col min="12556" max="12556" width="2.125" style="62" customWidth="1"/>
    <col min="12557" max="12800" width="9.125" style="62" customWidth="1"/>
    <col min="12801" max="12801" width="1.875" style="62" customWidth="1"/>
    <col min="12802" max="12802" width="7.125" style="62" customWidth="1"/>
    <col min="12803" max="12803" width="13" style="62" hidden="1" customWidth="1"/>
    <col min="12804" max="12804" width="7.5" style="62" customWidth="1"/>
    <col min="12805" max="12805" width="7.625" style="62" customWidth="1"/>
    <col min="12806" max="12806" width="8.125" style="62" bestFit="1" customWidth="1"/>
    <col min="12807" max="12807" width="9.625" style="62" customWidth="1"/>
    <col min="12808" max="12808" width="16.375" style="62" customWidth="1"/>
    <col min="12809" max="12809" width="10.875" style="62" customWidth="1"/>
    <col min="12810" max="12810" width="16.375" style="62" bestFit="1" customWidth="1"/>
    <col min="12811" max="12811" width="59.5" style="62" customWidth="1"/>
    <col min="12812" max="12812" width="2.125" style="62" customWidth="1"/>
    <col min="12813" max="13056" width="9.125" style="62" customWidth="1"/>
    <col min="13057" max="13057" width="1.875" style="62" customWidth="1"/>
    <col min="13058" max="13058" width="7.125" style="62" customWidth="1"/>
    <col min="13059" max="13059" width="13" style="62" hidden="1" customWidth="1"/>
    <col min="13060" max="13060" width="7.5" style="62" customWidth="1"/>
    <col min="13061" max="13061" width="7.625" style="62" customWidth="1"/>
    <col min="13062" max="13062" width="8.125" style="62" bestFit="1" customWidth="1"/>
    <col min="13063" max="13063" width="9.625" style="62" customWidth="1"/>
    <col min="13064" max="13064" width="16.375" style="62" customWidth="1"/>
    <col min="13065" max="13065" width="10.875" style="62" customWidth="1"/>
    <col min="13066" max="13066" width="16.375" style="62" bestFit="1" customWidth="1"/>
    <col min="13067" max="13067" width="59.5" style="62" customWidth="1"/>
    <col min="13068" max="13068" width="2.125" style="62" customWidth="1"/>
    <col min="13069" max="13312" width="9.125" style="62" customWidth="1"/>
    <col min="13313" max="13313" width="1.875" style="62" customWidth="1"/>
    <col min="13314" max="13314" width="7.125" style="62" customWidth="1"/>
    <col min="13315" max="13315" width="13" style="62" hidden="1" customWidth="1"/>
    <col min="13316" max="13316" width="7.5" style="62" customWidth="1"/>
    <col min="13317" max="13317" width="7.625" style="62" customWidth="1"/>
    <col min="13318" max="13318" width="8.125" style="62" bestFit="1" customWidth="1"/>
    <col min="13319" max="13319" width="9.625" style="62" customWidth="1"/>
    <col min="13320" max="13320" width="16.375" style="62" customWidth="1"/>
    <col min="13321" max="13321" width="10.875" style="62" customWidth="1"/>
    <col min="13322" max="13322" width="16.375" style="62" bestFit="1" customWidth="1"/>
    <col min="13323" max="13323" width="59.5" style="62" customWidth="1"/>
    <col min="13324" max="13324" width="2.125" style="62" customWidth="1"/>
    <col min="13325" max="13568" width="9.125" style="62" customWidth="1"/>
    <col min="13569" max="13569" width="1.875" style="62" customWidth="1"/>
    <col min="13570" max="13570" width="7.125" style="62" customWidth="1"/>
    <col min="13571" max="13571" width="13" style="62" hidden="1" customWidth="1"/>
    <col min="13572" max="13572" width="7.5" style="62" customWidth="1"/>
    <col min="13573" max="13573" width="7.625" style="62" customWidth="1"/>
    <col min="13574" max="13574" width="8.125" style="62" bestFit="1" customWidth="1"/>
    <col min="13575" max="13575" width="9.625" style="62" customWidth="1"/>
    <col min="13576" max="13576" width="16.375" style="62" customWidth="1"/>
    <col min="13577" max="13577" width="10.875" style="62" customWidth="1"/>
    <col min="13578" max="13578" width="16.375" style="62" bestFit="1" customWidth="1"/>
    <col min="13579" max="13579" width="59.5" style="62" customWidth="1"/>
    <col min="13580" max="13580" width="2.125" style="62" customWidth="1"/>
    <col min="13581" max="13824" width="9.125" style="62" customWidth="1"/>
    <col min="13825" max="13825" width="1.875" style="62" customWidth="1"/>
    <col min="13826" max="13826" width="7.125" style="62" customWidth="1"/>
    <col min="13827" max="13827" width="13" style="62" hidden="1" customWidth="1"/>
    <col min="13828" max="13828" width="7.5" style="62" customWidth="1"/>
    <col min="13829" max="13829" width="7.625" style="62" customWidth="1"/>
    <col min="13830" max="13830" width="8.125" style="62" bestFit="1" customWidth="1"/>
    <col min="13831" max="13831" width="9.625" style="62" customWidth="1"/>
    <col min="13832" max="13832" width="16.375" style="62" customWidth="1"/>
    <col min="13833" max="13833" width="10.875" style="62" customWidth="1"/>
    <col min="13834" max="13834" width="16.375" style="62" bestFit="1" customWidth="1"/>
    <col min="13835" max="13835" width="59.5" style="62" customWidth="1"/>
    <col min="13836" max="13836" width="2.125" style="62" customWidth="1"/>
    <col min="13837" max="14080" width="9.125" style="62" customWidth="1"/>
    <col min="14081" max="14081" width="1.875" style="62" customWidth="1"/>
    <col min="14082" max="14082" width="7.125" style="62" customWidth="1"/>
    <col min="14083" max="14083" width="13" style="62" hidden="1" customWidth="1"/>
    <col min="14084" max="14084" width="7.5" style="62" customWidth="1"/>
    <col min="14085" max="14085" width="7.625" style="62" customWidth="1"/>
    <col min="14086" max="14086" width="8.125" style="62" bestFit="1" customWidth="1"/>
    <col min="14087" max="14087" width="9.625" style="62" customWidth="1"/>
    <col min="14088" max="14088" width="16.375" style="62" customWidth="1"/>
    <col min="14089" max="14089" width="10.875" style="62" customWidth="1"/>
    <col min="14090" max="14090" width="16.375" style="62" bestFit="1" customWidth="1"/>
    <col min="14091" max="14091" width="59.5" style="62" customWidth="1"/>
    <col min="14092" max="14092" width="2.125" style="62" customWidth="1"/>
    <col min="14093" max="14336" width="9.125" style="62" customWidth="1"/>
    <col min="14337" max="14337" width="1.875" style="62" customWidth="1"/>
    <col min="14338" max="14338" width="7.125" style="62" customWidth="1"/>
    <col min="14339" max="14339" width="13" style="62" hidden="1" customWidth="1"/>
    <col min="14340" max="14340" width="7.5" style="62" customWidth="1"/>
    <col min="14341" max="14341" width="7.625" style="62" customWidth="1"/>
    <col min="14342" max="14342" width="8.125" style="62" bestFit="1" customWidth="1"/>
    <col min="14343" max="14343" width="9.625" style="62" customWidth="1"/>
    <col min="14344" max="14344" width="16.375" style="62" customWidth="1"/>
    <col min="14345" max="14345" width="10.875" style="62" customWidth="1"/>
    <col min="14346" max="14346" width="16.375" style="62" bestFit="1" customWidth="1"/>
    <col min="14347" max="14347" width="59.5" style="62" customWidth="1"/>
    <col min="14348" max="14348" width="2.125" style="62" customWidth="1"/>
    <col min="14349" max="14592" width="9.125" style="62" customWidth="1"/>
    <col min="14593" max="14593" width="1.875" style="62" customWidth="1"/>
    <col min="14594" max="14594" width="7.125" style="62" customWidth="1"/>
    <col min="14595" max="14595" width="13" style="62" hidden="1" customWidth="1"/>
    <col min="14596" max="14596" width="7.5" style="62" customWidth="1"/>
    <col min="14597" max="14597" width="7.625" style="62" customWidth="1"/>
    <col min="14598" max="14598" width="8.125" style="62" bestFit="1" customWidth="1"/>
    <col min="14599" max="14599" width="9.625" style="62" customWidth="1"/>
    <col min="14600" max="14600" width="16.375" style="62" customWidth="1"/>
    <col min="14601" max="14601" width="10.875" style="62" customWidth="1"/>
    <col min="14602" max="14602" width="16.375" style="62" bestFit="1" customWidth="1"/>
    <col min="14603" max="14603" width="59.5" style="62" customWidth="1"/>
    <col min="14604" max="14604" width="2.125" style="62" customWidth="1"/>
    <col min="14605" max="14848" width="9.125" style="62" customWidth="1"/>
    <col min="14849" max="14849" width="1.875" style="62" customWidth="1"/>
    <col min="14850" max="14850" width="7.125" style="62" customWidth="1"/>
    <col min="14851" max="14851" width="13" style="62" hidden="1" customWidth="1"/>
    <col min="14852" max="14852" width="7.5" style="62" customWidth="1"/>
    <col min="14853" max="14853" width="7.625" style="62" customWidth="1"/>
    <col min="14854" max="14854" width="8.125" style="62" bestFit="1" customWidth="1"/>
    <col min="14855" max="14855" width="9.625" style="62" customWidth="1"/>
    <col min="14856" max="14856" width="16.375" style="62" customWidth="1"/>
    <col min="14857" max="14857" width="10.875" style="62" customWidth="1"/>
    <col min="14858" max="14858" width="16.375" style="62" bestFit="1" customWidth="1"/>
    <col min="14859" max="14859" width="59.5" style="62" customWidth="1"/>
    <col min="14860" max="14860" width="2.125" style="62" customWidth="1"/>
    <col min="14861" max="15104" width="9.125" style="62" customWidth="1"/>
    <col min="15105" max="15105" width="1.875" style="62" customWidth="1"/>
    <col min="15106" max="15106" width="7.125" style="62" customWidth="1"/>
    <col min="15107" max="15107" width="13" style="62" hidden="1" customWidth="1"/>
    <col min="15108" max="15108" width="7.5" style="62" customWidth="1"/>
    <col min="15109" max="15109" width="7.625" style="62" customWidth="1"/>
    <col min="15110" max="15110" width="8.125" style="62" bestFit="1" customWidth="1"/>
    <col min="15111" max="15111" width="9.625" style="62" customWidth="1"/>
    <col min="15112" max="15112" width="16.375" style="62" customWidth="1"/>
    <col min="15113" max="15113" width="10.875" style="62" customWidth="1"/>
    <col min="15114" max="15114" width="16.375" style="62" bestFit="1" customWidth="1"/>
    <col min="15115" max="15115" width="59.5" style="62" customWidth="1"/>
    <col min="15116" max="15116" width="2.125" style="62" customWidth="1"/>
    <col min="15117" max="15360" width="9.125" style="62" customWidth="1"/>
    <col min="15361" max="15361" width="1.875" style="62" customWidth="1"/>
    <col min="15362" max="15362" width="7.125" style="62" customWidth="1"/>
    <col min="15363" max="15363" width="13" style="62" hidden="1" customWidth="1"/>
    <col min="15364" max="15364" width="7.5" style="62" customWidth="1"/>
    <col min="15365" max="15365" width="7.625" style="62" customWidth="1"/>
    <col min="15366" max="15366" width="8.125" style="62" bestFit="1" customWidth="1"/>
    <col min="15367" max="15367" width="9.625" style="62" customWidth="1"/>
    <col min="15368" max="15368" width="16.375" style="62" customWidth="1"/>
    <col min="15369" max="15369" width="10.875" style="62" customWidth="1"/>
    <col min="15370" max="15370" width="16.375" style="62" bestFit="1" customWidth="1"/>
    <col min="15371" max="15371" width="59.5" style="62" customWidth="1"/>
    <col min="15372" max="15372" width="2.125" style="62" customWidth="1"/>
    <col min="15373" max="15616" width="9.125" style="62" customWidth="1"/>
    <col min="15617" max="15617" width="1.875" style="62" customWidth="1"/>
    <col min="15618" max="15618" width="7.125" style="62" customWidth="1"/>
    <col min="15619" max="15619" width="13" style="62" hidden="1" customWidth="1"/>
    <col min="15620" max="15620" width="7.5" style="62" customWidth="1"/>
    <col min="15621" max="15621" width="7.625" style="62" customWidth="1"/>
    <col min="15622" max="15622" width="8.125" style="62" bestFit="1" customWidth="1"/>
    <col min="15623" max="15623" width="9.625" style="62" customWidth="1"/>
    <col min="15624" max="15624" width="16.375" style="62" customWidth="1"/>
    <col min="15625" max="15625" width="10.875" style="62" customWidth="1"/>
    <col min="15626" max="15626" width="16.375" style="62" bestFit="1" customWidth="1"/>
    <col min="15627" max="15627" width="59.5" style="62" customWidth="1"/>
    <col min="15628" max="15628" width="2.125" style="62" customWidth="1"/>
    <col min="15629" max="15872" width="9.125" style="62" customWidth="1"/>
    <col min="15873" max="15873" width="1.875" style="62" customWidth="1"/>
    <col min="15874" max="15874" width="7.125" style="62" customWidth="1"/>
    <col min="15875" max="15875" width="13" style="62" hidden="1" customWidth="1"/>
    <col min="15876" max="15876" width="7.5" style="62" customWidth="1"/>
    <col min="15877" max="15877" width="7.625" style="62" customWidth="1"/>
    <col min="15878" max="15878" width="8.125" style="62" bestFit="1" customWidth="1"/>
    <col min="15879" max="15879" width="9.625" style="62" customWidth="1"/>
    <col min="15880" max="15880" width="16.375" style="62" customWidth="1"/>
    <col min="15881" max="15881" width="10.875" style="62" customWidth="1"/>
    <col min="15882" max="15882" width="16.375" style="62" bestFit="1" customWidth="1"/>
    <col min="15883" max="15883" width="59.5" style="62" customWidth="1"/>
    <col min="15884" max="15884" width="2.125" style="62" customWidth="1"/>
    <col min="15885" max="16128" width="9.125" style="62" customWidth="1"/>
    <col min="16129" max="16129" width="1.875" style="62" customWidth="1"/>
    <col min="16130" max="16130" width="7.125" style="62" customWidth="1"/>
    <col min="16131" max="16131" width="13" style="62" hidden="1" customWidth="1"/>
    <col min="16132" max="16132" width="7.5" style="62" customWidth="1"/>
    <col min="16133" max="16133" width="7.625" style="62" customWidth="1"/>
    <col min="16134" max="16134" width="8.125" style="62" bestFit="1" customWidth="1"/>
    <col min="16135" max="16135" width="9.625" style="62" customWidth="1"/>
    <col min="16136" max="16136" width="16.375" style="62" customWidth="1"/>
    <col min="16137" max="16137" width="10.875" style="62" customWidth="1"/>
    <col min="16138" max="16138" width="16.375" style="62" bestFit="1" customWidth="1"/>
    <col min="16139" max="16139" width="59.5" style="62" customWidth="1"/>
    <col min="16140" max="16140" width="2.125" style="62" customWidth="1"/>
    <col min="16141" max="16384" width="9.125" style="62" customWidth="1"/>
  </cols>
  <sheetData>
    <row r="1" spans="2:15" ht="33" customHeight="1"/>
    <row r="2" spans="2:15" ht="21.75" customHeight="1" thickBot="1">
      <c r="B2" s="96" t="s">
        <v>0</v>
      </c>
      <c r="C2" s="97"/>
      <c r="D2" s="97"/>
      <c r="E2" s="97"/>
      <c r="F2" s="97"/>
      <c r="G2" s="97"/>
      <c r="H2" s="97"/>
      <c r="I2" s="97"/>
      <c r="J2" s="97"/>
      <c r="K2" s="1"/>
    </row>
    <row r="3" spans="2:15" ht="14.25" customHeight="1">
      <c r="B3" s="2" t="s">
        <v>1</v>
      </c>
      <c r="C3" s="3"/>
      <c r="D3" s="4"/>
      <c r="E3" s="98" t="s">
        <v>2</v>
      </c>
      <c r="F3" s="99"/>
      <c r="G3" s="100"/>
      <c r="H3" s="5"/>
      <c r="I3" s="5"/>
      <c r="J3" s="6" t="s">
        <v>3</v>
      </c>
      <c r="K3" s="7" t="s">
        <v>4</v>
      </c>
    </row>
    <row r="4" spans="2:15" ht="13.5" customHeight="1" thickBot="1">
      <c r="B4" s="118" t="s">
        <v>5</v>
      </c>
      <c r="C4" s="86"/>
      <c r="D4" s="86"/>
      <c r="E4" s="110"/>
      <c r="F4" s="93"/>
      <c r="G4" s="111"/>
      <c r="H4" s="5"/>
      <c r="I4" s="5"/>
      <c r="J4" s="8" t="s">
        <v>6</v>
      </c>
      <c r="K4" s="9" t="s">
        <v>38</v>
      </c>
    </row>
    <row r="5" spans="2:15" ht="16.5" customHeight="1" thickBot="1">
      <c r="B5" s="115" t="s">
        <v>7</v>
      </c>
      <c r="C5" s="116"/>
      <c r="D5" s="117"/>
      <c r="E5" s="104" t="s">
        <v>8</v>
      </c>
      <c r="F5" s="105"/>
      <c r="G5" s="106"/>
      <c r="H5" s="10"/>
      <c r="I5" s="10"/>
      <c r="J5" s="11" t="s">
        <v>9</v>
      </c>
      <c r="K5" s="7"/>
    </row>
    <row r="6" spans="2:15" ht="15" customHeight="1" thickBot="1">
      <c r="B6" s="5"/>
      <c r="C6" s="5"/>
      <c r="D6" s="5"/>
      <c r="E6" s="5"/>
      <c r="F6" s="5"/>
      <c r="G6" s="5"/>
      <c r="H6" s="5"/>
      <c r="I6" s="5"/>
      <c r="J6" s="5"/>
      <c r="K6" s="5"/>
    </row>
    <row r="7" spans="2:15" ht="23.25" customHeight="1" thickTop="1" thickBot="1">
      <c r="B7" s="12" t="s">
        <v>10</v>
      </c>
      <c r="C7" s="13"/>
      <c r="D7" s="13"/>
      <c r="E7" s="14">
        <v>6</v>
      </c>
      <c r="F7" s="14">
        <v>2026</v>
      </c>
      <c r="G7" s="15"/>
      <c r="H7" s="16">
        <v>0.33333333333333331</v>
      </c>
      <c r="I7" s="16">
        <v>2.0833333333333329E-2</v>
      </c>
      <c r="J7" s="5"/>
      <c r="K7" s="5"/>
    </row>
    <row r="8" spans="2:15" ht="15" customHeight="1" thickTop="1">
      <c r="B8" s="123" t="s">
        <v>11</v>
      </c>
      <c r="C8" s="124"/>
      <c r="D8" s="125"/>
      <c r="E8" s="107" t="s">
        <v>12</v>
      </c>
      <c r="F8" s="108"/>
      <c r="G8" s="109"/>
      <c r="H8" s="112" t="s">
        <v>13</v>
      </c>
      <c r="I8" s="108"/>
      <c r="J8" s="75" t="s">
        <v>14</v>
      </c>
      <c r="K8" s="75" t="s">
        <v>15</v>
      </c>
      <c r="O8" s="17"/>
    </row>
    <row r="9" spans="2:15" ht="15" customHeight="1" thickBot="1">
      <c r="B9" s="126"/>
      <c r="C9" s="127"/>
      <c r="D9" s="128"/>
      <c r="E9" s="18" t="s">
        <v>16</v>
      </c>
      <c r="F9" s="19" t="s">
        <v>17</v>
      </c>
      <c r="G9" s="19" t="s">
        <v>18</v>
      </c>
      <c r="H9" s="20" t="s">
        <v>19</v>
      </c>
      <c r="I9" s="21" t="s">
        <v>20</v>
      </c>
      <c r="J9" s="76"/>
      <c r="K9" s="76"/>
      <c r="O9" s="17"/>
    </row>
    <row r="10" spans="2:15" s="17" customFormat="1" ht="15" customHeight="1">
      <c r="B10" s="22">
        <f>IF(DAY(DATE($F$7, $E$7, 1))=1,1,"**")</f>
        <v>1</v>
      </c>
      <c r="C10" s="23">
        <f t="shared" ref="C10:C38" si="0">WEEKDAY(B10,2)</f>
        <v>7</v>
      </c>
      <c r="D10" s="24" t="str">
        <f t="shared" ref="D10:D39" si="1">IF(B10="**","**",CHOOSE(WEEKDAY(DATE($F$7,$E$7,B10),1),"Sun","Mon","Tue","Wed","Thu","Fri","Sat"))</f>
        <v>Mon</v>
      </c>
      <c r="E10" s="64"/>
      <c r="F10" s="65"/>
      <c r="G10" s="66"/>
      <c r="H10" s="67"/>
      <c r="I10" s="68"/>
      <c r="J10" s="69"/>
      <c r="K10" s="70" t="s">
        <v>35</v>
      </c>
    </row>
    <row r="11" spans="2:15" s="17" customFormat="1" ht="14.25" customHeight="1">
      <c r="B11" s="28">
        <f t="shared" ref="B11:B40" si="2">IF(B10="**","**",IF(DAY(DATE($F$7,$E$7,B10+1))=B10+1,B10+1,"**"))</f>
        <v>2</v>
      </c>
      <c r="C11" s="29">
        <f t="shared" si="0"/>
        <v>1</v>
      </c>
      <c r="D11" s="30" t="str">
        <f t="shared" si="1"/>
        <v>Tue</v>
      </c>
      <c r="E11" s="59">
        <v>0.33333333333333331</v>
      </c>
      <c r="F11" s="60">
        <v>0.83333333333333337</v>
      </c>
      <c r="G11" s="61">
        <v>4.1666666666666664E-2</v>
      </c>
      <c r="H11" s="25">
        <f t="shared" ref="H11:H12" si="3">IF(G11="","",F11-E11-G11)</f>
        <v>0.45833333333333331</v>
      </c>
      <c r="I11" s="26">
        <f t="shared" ref="I11:I12" si="4">IF(H11-"08:00"&lt;=0, "", H11-"08:00")</f>
        <v>0.125</v>
      </c>
      <c r="J11" s="27" t="s">
        <v>21</v>
      </c>
      <c r="K11" s="58" t="s">
        <v>37</v>
      </c>
      <c r="L11" s="31"/>
    </row>
    <row r="12" spans="2:15" s="17" customFormat="1" ht="14.25" customHeight="1">
      <c r="B12" s="28">
        <f t="shared" si="2"/>
        <v>3</v>
      </c>
      <c r="C12" s="29">
        <f t="shared" si="0"/>
        <v>2</v>
      </c>
      <c r="D12" s="30" t="str">
        <f t="shared" si="1"/>
        <v>Wed</v>
      </c>
      <c r="E12" s="59">
        <v>0.33333333333333331</v>
      </c>
      <c r="F12" s="60">
        <v>0.75</v>
      </c>
      <c r="G12" s="61">
        <v>4.1666666666666664E-2</v>
      </c>
      <c r="H12" s="25">
        <f t="shared" si="3"/>
        <v>0.375</v>
      </c>
      <c r="I12" s="26">
        <f t="shared" si="4"/>
        <v>4.1666666666666685E-2</v>
      </c>
      <c r="J12" s="27" t="s">
        <v>21</v>
      </c>
      <c r="K12" s="58" t="s">
        <v>37</v>
      </c>
      <c r="L12" s="31"/>
    </row>
    <row r="13" spans="2:15" s="17" customFormat="1" ht="14.25" customHeight="1">
      <c r="B13" s="28">
        <f t="shared" si="2"/>
        <v>4</v>
      </c>
      <c r="C13" s="29">
        <f t="shared" si="0"/>
        <v>3</v>
      </c>
      <c r="D13" s="30" t="str">
        <f t="shared" si="1"/>
        <v>Thu</v>
      </c>
      <c r="E13" s="59">
        <v>0.33333333333333298</v>
      </c>
      <c r="F13" s="60">
        <v>0.75</v>
      </c>
      <c r="G13" s="61">
        <v>4.1666666666666699E-2</v>
      </c>
      <c r="H13" s="25">
        <f t="shared" ref="H13:H39" si="5">IF(G13="","",F13-E13-G13)</f>
        <v>0.37500000000000033</v>
      </c>
      <c r="I13" s="26">
        <f t="shared" ref="I13:I39" si="6">IF(H13-"08:00"&lt;=0, "", H13-"08:00")</f>
        <v>4.1666666666667018E-2</v>
      </c>
      <c r="J13" s="27" t="s">
        <v>21</v>
      </c>
      <c r="K13" s="58" t="s">
        <v>37</v>
      </c>
      <c r="L13" s="31"/>
    </row>
    <row r="14" spans="2:15" s="17" customFormat="1" ht="15" customHeight="1" thickBot="1">
      <c r="B14" s="28">
        <f t="shared" si="2"/>
        <v>5</v>
      </c>
      <c r="C14" s="29">
        <f t="shared" si="0"/>
        <v>4</v>
      </c>
      <c r="D14" s="30" t="str">
        <f t="shared" si="1"/>
        <v>Fri</v>
      </c>
      <c r="E14" s="59">
        <v>0.33333333333333298</v>
      </c>
      <c r="F14" s="60">
        <v>0.72916666666666663</v>
      </c>
      <c r="G14" s="61">
        <v>4.1666666666666699E-2</v>
      </c>
      <c r="H14" s="25">
        <f t="shared" si="5"/>
        <v>0.35416666666666696</v>
      </c>
      <c r="I14" s="26">
        <f t="shared" si="6"/>
        <v>2.0833333333333648E-2</v>
      </c>
      <c r="J14" s="27" t="s">
        <v>21</v>
      </c>
      <c r="K14" s="58" t="s">
        <v>37</v>
      </c>
      <c r="L14" s="31"/>
    </row>
    <row r="15" spans="2:15" s="17" customFormat="1" ht="14.25" customHeight="1">
      <c r="B15" s="22">
        <f t="shared" si="2"/>
        <v>6</v>
      </c>
      <c r="C15" s="23">
        <f t="shared" si="0"/>
        <v>5</v>
      </c>
      <c r="D15" s="24" t="str">
        <f t="shared" si="1"/>
        <v>Sat</v>
      </c>
      <c r="E15" s="59"/>
      <c r="F15" s="60"/>
      <c r="G15" s="61"/>
      <c r="H15" s="25"/>
      <c r="I15" s="26"/>
      <c r="J15" s="27"/>
      <c r="K15" s="58"/>
      <c r="L15" s="31"/>
    </row>
    <row r="16" spans="2:15" s="17" customFormat="1" ht="15" customHeight="1">
      <c r="B16" s="28">
        <f t="shared" si="2"/>
        <v>7</v>
      </c>
      <c r="C16" s="29">
        <f t="shared" si="0"/>
        <v>6</v>
      </c>
      <c r="D16" s="30" t="str">
        <f t="shared" si="1"/>
        <v>Sun</v>
      </c>
      <c r="E16" s="59"/>
      <c r="F16" s="60"/>
      <c r="G16" s="61"/>
      <c r="H16" s="25"/>
      <c r="I16" s="26"/>
      <c r="J16" s="27"/>
      <c r="K16" s="58"/>
    </row>
    <row r="17" spans="2:13" s="17" customFormat="1" ht="15" customHeight="1">
      <c r="B17" s="28">
        <f t="shared" si="2"/>
        <v>8</v>
      </c>
      <c r="C17" s="29">
        <f t="shared" si="0"/>
        <v>7</v>
      </c>
      <c r="D17" s="30" t="str">
        <f t="shared" si="1"/>
        <v>Mon</v>
      </c>
      <c r="E17" s="59">
        <v>0.33333333333333298</v>
      </c>
      <c r="F17" s="60">
        <v>0.72916666666666663</v>
      </c>
      <c r="G17" s="61">
        <v>4.1666666666666699E-2</v>
      </c>
      <c r="H17" s="25">
        <f t="shared" si="5"/>
        <v>0.35416666666666696</v>
      </c>
      <c r="I17" s="26">
        <f t="shared" si="6"/>
        <v>2.0833333333333648E-2</v>
      </c>
      <c r="J17" s="27" t="s">
        <v>21</v>
      </c>
      <c r="K17" s="58" t="s">
        <v>37</v>
      </c>
    </row>
    <row r="18" spans="2:13" s="17" customFormat="1" ht="14.25" customHeight="1">
      <c r="B18" s="28">
        <f t="shared" si="2"/>
        <v>9</v>
      </c>
      <c r="C18" s="29">
        <f t="shared" si="0"/>
        <v>1</v>
      </c>
      <c r="D18" s="30" t="str">
        <f t="shared" si="1"/>
        <v>Tue</v>
      </c>
      <c r="E18" s="59">
        <v>0.33333333333333298</v>
      </c>
      <c r="F18" s="60">
        <v>0.75</v>
      </c>
      <c r="G18" s="61">
        <v>4.1666666666666699E-2</v>
      </c>
      <c r="H18" s="25">
        <f t="shared" si="5"/>
        <v>0.37500000000000033</v>
      </c>
      <c r="I18" s="26">
        <f t="shared" si="6"/>
        <v>4.1666666666667018E-2</v>
      </c>
      <c r="J18" s="27" t="s">
        <v>21</v>
      </c>
      <c r="K18" s="58" t="s">
        <v>37</v>
      </c>
    </row>
    <row r="19" spans="2:13" s="17" customFormat="1" ht="14.25" customHeight="1">
      <c r="B19" s="28">
        <f t="shared" si="2"/>
        <v>10</v>
      </c>
      <c r="C19" s="29">
        <f t="shared" si="0"/>
        <v>2</v>
      </c>
      <c r="D19" s="30" t="str">
        <f t="shared" si="1"/>
        <v>Wed</v>
      </c>
      <c r="E19" s="59">
        <v>0.33333333333333298</v>
      </c>
      <c r="F19" s="60">
        <v>0.77083333333333337</v>
      </c>
      <c r="G19" s="61">
        <v>4.1666666666666699E-2</v>
      </c>
      <c r="H19" s="25">
        <f t="shared" si="5"/>
        <v>0.3958333333333337</v>
      </c>
      <c r="I19" s="26">
        <f t="shared" si="6"/>
        <v>6.2500000000000389E-2</v>
      </c>
      <c r="J19" s="27" t="s">
        <v>21</v>
      </c>
      <c r="K19" s="58" t="s">
        <v>37</v>
      </c>
    </row>
    <row r="20" spans="2:13" s="17" customFormat="1" ht="14.25" customHeight="1">
      <c r="B20" s="28">
        <f t="shared" si="2"/>
        <v>11</v>
      </c>
      <c r="C20" s="29">
        <f t="shared" si="0"/>
        <v>3</v>
      </c>
      <c r="D20" s="30" t="str">
        <f t="shared" si="1"/>
        <v>Thu</v>
      </c>
      <c r="E20" s="59">
        <v>0.33333333333333298</v>
      </c>
      <c r="F20" s="60">
        <v>0.8125</v>
      </c>
      <c r="G20" s="61">
        <v>4.1666666666666699E-2</v>
      </c>
      <c r="H20" s="25">
        <f t="shared" si="5"/>
        <v>0.43750000000000033</v>
      </c>
      <c r="I20" s="26">
        <f t="shared" si="6"/>
        <v>0.10416666666666702</v>
      </c>
      <c r="J20" s="27" t="s">
        <v>21</v>
      </c>
      <c r="K20" s="58" t="s">
        <v>37</v>
      </c>
    </row>
    <row r="21" spans="2:13" s="17" customFormat="1" ht="14.25" customHeight="1">
      <c r="B21" s="28">
        <f t="shared" si="2"/>
        <v>12</v>
      </c>
      <c r="C21" s="29">
        <f t="shared" si="0"/>
        <v>4</v>
      </c>
      <c r="D21" s="32" t="str">
        <f t="shared" si="1"/>
        <v>Fri</v>
      </c>
      <c r="E21" s="59">
        <v>0.33333333333333298</v>
      </c>
      <c r="F21" s="60">
        <v>0.72916666666666663</v>
      </c>
      <c r="G21" s="61">
        <v>4.1666666666666699E-2</v>
      </c>
      <c r="H21" s="25">
        <f t="shared" si="5"/>
        <v>0.35416666666666696</v>
      </c>
      <c r="I21" s="26">
        <f t="shared" si="6"/>
        <v>2.0833333333333648E-2</v>
      </c>
      <c r="J21" s="27" t="s">
        <v>21</v>
      </c>
      <c r="K21" s="58" t="s">
        <v>37</v>
      </c>
    </row>
    <row r="22" spans="2:13" s="17" customFormat="1" ht="14.25" customHeight="1">
      <c r="B22" s="28">
        <f t="shared" si="2"/>
        <v>13</v>
      </c>
      <c r="C22" s="29">
        <f t="shared" si="0"/>
        <v>5</v>
      </c>
      <c r="D22" s="32" t="str">
        <f t="shared" si="1"/>
        <v>Sat</v>
      </c>
      <c r="E22" s="59"/>
      <c r="F22" s="60"/>
      <c r="G22" s="61"/>
      <c r="H22" s="25"/>
      <c r="I22" s="26"/>
      <c r="J22" s="27"/>
      <c r="K22" s="58"/>
    </row>
    <row r="23" spans="2:13" s="17" customFormat="1" ht="15" customHeight="1">
      <c r="B23" s="28">
        <f t="shared" si="2"/>
        <v>14</v>
      </c>
      <c r="C23" s="29">
        <f t="shared" si="0"/>
        <v>6</v>
      </c>
      <c r="D23" s="32" t="str">
        <f t="shared" si="1"/>
        <v>Sun</v>
      </c>
      <c r="E23" s="59"/>
      <c r="F23" s="60"/>
      <c r="G23" s="61"/>
      <c r="H23" s="25"/>
      <c r="I23" s="26"/>
      <c r="J23" s="27"/>
      <c r="K23" s="58"/>
      <c r="M23" s="33"/>
    </row>
    <row r="24" spans="2:13" s="17" customFormat="1" ht="15" customHeight="1">
      <c r="B24" s="28">
        <f t="shared" si="2"/>
        <v>15</v>
      </c>
      <c r="C24" s="29">
        <f t="shared" si="0"/>
        <v>7</v>
      </c>
      <c r="D24" s="32" t="str">
        <f t="shared" si="1"/>
        <v>Mon</v>
      </c>
      <c r="E24" s="59">
        <v>0.33333333333333298</v>
      </c>
      <c r="F24" s="60">
        <v>0.70833333333333337</v>
      </c>
      <c r="G24" s="61">
        <v>4.1666666666666699E-2</v>
      </c>
      <c r="H24" s="25">
        <f t="shared" si="5"/>
        <v>0.3333333333333337</v>
      </c>
      <c r="I24" s="26">
        <f t="shared" si="6"/>
        <v>3.8857805861880479E-16</v>
      </c>
      <c r="J24" s="27" t="s">
        <v>33</v>
      </c>
      <c r="K24" s="58" t="s">
        <v>37</v>
      </c>
    </row>
    <row r="25" spans="2:13" s="17" customFormat="1" ht="14.25" customHeight="1">
      <c r="B25" s="28">
        <f t="shared" si="2"/>
        <v>16</v>
      </c>
      <c r="C25" s="29">
        <f t="shared" si="0"/>
        <v>1</v>
      </c>
      <c r="D25" s="32" t="str">
        <f t="shared" si="1"/>
        <v>Tue</v>
      </c>
      <c r="E25" s="64"/>
      <c r="F25" s="65"/>
      <c r="G25" s="66"/>
      <c r="H25" s="67"/>
      <c r="I25" s="68"/>
      <c r="J25" s="69"/>
      <c r="K25" s="70" t="s">
        <v>36</v>
      </c>
    </row>
    <row r="26" spans="2:13" s="17" customFormat="1" ht="14.25" customHeight="1">
      <c r="B26" s="28">
        <f t="shared" si="2"/>
        <v>17</v>
      </c>
      <c r="C26" s="29">
        <f t="shared" si="0"/>
        <v>2</v>
      </c>
      <c r="D26" s="32" t="str">
        <f t="shared" si="1"/>
        <v>Wed</v>
      </c>
      <c r="E26" s="59">
        <v>0.33333333333333298</v>
      </c>
      <c r="F26" s="60">
        <v>0.8125</v>
      </c>
      <c r="G26" s="61">
        <v>4.1666666666666699E-2</v>
      </c>
      <c r="H26" s="25">
        <f t="shared" si="5"/>
        <v>0.43750000000000033</v>
      </c>
      <c r="I26" s="26">
        <f t="shared" si="6"/>
        <v>0.10416666666666702</v>
      </c>
      <c r="J26" s="27" t="s">
        <v>21</v>
      </c>
      <c r="K26" s="58" t="s">
        <v>37</v>
      </c>
    </row>
    <row r="27" spans="2:13" s="34" customFormat="1" ht="14.25" customHeight="1">
      <c r="B27" s="28">
        <f t="shared" si="2"/>
        <v>18</v>
      </c>
      <c r="C27" s="29">
        <f t="shared" si="0"/>
        <v>3</v>
      </c>
      <c r="D27" s="30" t="str">
        <f t="shared" si="1"/>
        <v>Thu</v>
      </c>
      <c r="E27" s="59">
        <v>0.33333333333333298</v>
      </c>
      <c r="F27" s="60">
        <v>0.83333333333333337</v>
      </c>
      <c r="G27" s="61">
        <v>4.1666666666666699E-2</v>
      </c>
      <c r="H27" s="25">
        <f t="shared" si="5"/>
        <v>0.45833333333333376</v>
      </c>
      <c r="I27" s="26">
        <f t="shared" si="6"/>
        <v>0.12500000000000044</v>
      </c>
      <c r="J27" s="27" t="s">
        <v>21</v>
      </c>
      <c r="K27" s="58" t="s">
        <v>37</v>
      </c>
    </row>
    <row r="28" spans="2:13" s="17" customFormat="1" ht="14.25" customHeight="1">
      <c r="B28" s="28">
        <f t="shared" si="2"/>
        <v>19</v>
      </c>
      <c r="C28" s="29">
        <f t="shared" si="0"/>
        <v>4</v>
      </c>
      <c r="D28" s="30" t="str">
        <f t="shared" si="1"/>
        <v>Fri</v>
      </c>
      <c r="E28" s="59">
        <v>0.33333333333333298</v>
      </c>
      <c r="F28" s="60">
        <v>0.72916666666666663</v>
      </c>
      <c r="G28" s="61">
        <v>4.1666666666666699E-2</v>
      </c>
      <c r="H28" s="25">
        <f t="shared" si="5"/>
        <v>0.35416666666666696</v>
      </c>
      <c r="I28" s="26">
        <f t="shared" si="6"/>
        <v>2.0833333333333648E-2</v>
      </c>
      <c r="J28" s="27" t="s">
        <v>21</v>
      </c>
      <c r="K28" s="58" t="s">
        <v>37</v>
      </c>
    </row>
    <row r="29" spans="2:13" s="17" customFormat="1" ht="14.25" customHeight="1">
      <c r="B29" s="28">
        <f t="shared" si="2"/>
        <v>20</v>
      </c>
      <c r="C29" s="29">
        <f t="shared" si="0"/>
        <v>5</v>
      </c>
      <c r="D29" s="32" t="str">
        <f t="shared" si="1"/>
        <v>Sat</v>
      </c>
      <c r="E29" s="59"/>
      <c r="F29" s="60"/>
      <c r="G29" s="61"/>
      <c r="H29" s="25"/>
      <c r="I29" s="26"/>
      <c r="J29" s="27"/>
      <c r="K29" s="58"/>
    </row>
    <row r="30" spans="2:13" s="17" customFormat="1" ht="15" customHeight="1">
      <c r="B30" s="28">
        <f t="shared" si="2"/>
        <v>21</v>
      </c>
      <c r="C30" s="29">
        <f t="shared" si="0"/>
        <v>6</v>
      </c>
      <c r="D30" s="30" t="str">
        <f t="shared" si="1"/>
        <v>Sun</v>
      </c>
      <c r="E30" s="59"/>
      <c r="F30" s="60"/>
      <c r="G30" s="61"/>
      <c r="H30" s="25"/>
      <c r="I30" s="26"/>
      <c r="J30" s="27"/>
      <c r="K30" s="58"/>
    </row>
    <row r="31" spans="2:13" s="17" customFormat="1" ht="15" customHeight="1">
      <c r="B31" s="28">
        <f t="shared" si="2"/>
        <v>22</v>
      </c>
      <c r="C31" s="29">
        <f t="shared" si="0"/>
        <v>7</v>
      </c>
      <c r="D31" s="30" t="str">
        <f t="shared" si="1"/>
        <v>Mon</v>
      </c>
      <c r="E31" s="59">
        <v>0.33333333333333298</v>
      </c>
      <c r="F31" s="60">
        <v>0.75</v>
      </c>
      <c r="G31" s="61">
        <v>4.1666666666666699E-2</v>
      </c>
      <c r="H31" s="25">
        <f t="shared" si="5"/>
        <v>0.37500000000000033</v>
      </c>
      <c r="I31" s="26">
        <f t="shared" si="6"/>
        <v>4.1666666666667018E-2</v>
      </c>
      <c r="J31" s="27" t="s">
        <v>21</v>
      </c>
      <c r="K31" s="58" t="s">
        <v>37</v>
      </c>
    </row>
    <row r="32" spans="2:13" s="17" customFormat="1" ht="14.25" customHeight="1">
      <c r="B32" s="28">
        <f t="shared" si="2"/>
        <v>23</v>
      </c>
      <c r="C32" s="29">
        <f t="shared" si="0"/>
        <v>1</v>
      </c>
      <c r="D32" s="30" t="str">
        <f t="shared" si="1"/>
        <v>Tue</v>
      </c>
      <c r="E32" s="59">
        <v>0.33333333333333298</v>
      </c>
      <c r="F32" s="60">
        <v>0.77083333333333337</v>
      </c>
      <c r="G32" s="61">
        <v>4.1666666666666699E-2</v>
      </c>
      <c r="H32" s="25">
        <f t="shared" si="5"/>
        <v>0.3958333333333337</v>
      </c>
      <c r="I32" s="26">
        <f t="shared" si="6"/>
        <v>6.2500000000000389E-2</v>
      </c>
      <c r="J32" s="27" t="s">
        <v>21</v>
      </c>
      <c r="K32" s="58" t="s">
        <v>37</v>
      </c>
    </row>
    <row r="33" spans="2:11" s="17" customFormat="1" ht="14.25" customHeight="1">
      <c r="B33" s="28">
        <f t="shared" si="2"/>
        <v>24</v>
      </c>
      <c r="C33" s="29">
        <f t="shared" si="0"/>
        <v>2</v>
      </c>
      <c r="D33" s="30" t="str">
        <f t="shared" si="1"/>
        <v>Wed</v>
      </c>
      <c r="E33" s="59">
        <v>0.33333333333333298</v>
      </c>
      <c r="F33" s="60">
        <v>0.72916666666666663</v>
      </c>
      <c r="G33" s="61">
        <v>4.1666666666666699E-2</v>
      </c>
      <c r="H33" s="25">
        <f t="shared" si="5"/>
        <v>0.35416666666666696</v>
      </c>
      <c r="I33" s="26">
        <f t="shared" si="6"/>
        <v>2.0833333333333648E-2</v>
      </c>
      <c r="J33" s="27" t="s">
        <v>21</v>
      </c>
      <c r="K33" s="58" t="s">
        <v>37</v>
      </c>
    </row>
    <row r="34" spans="2:11" s="17" customFormat="1" ht="14.25" customHeight="1">
      <c r="B34" s="28">
        <f t="shared" si="2"/>
        <v>25</v>
      </c>
      <c r="C34" s="29">
        <f t="shared" si="0"/>
        <v>3</v>
      </c>
      <c r="D34" s="30" t="str">
        <f t="shared" si="1"/>
        <v>Thu</v>
      </c>
      <c r="E34" s="59">
        <v>0.33333333333333298</v>
      </c>
      <c r="F34" s="60">
        <v>0.77083333333333337</v>
      </c>
      <c r="G34" s="61">
        <v>4.1666666666666699E-2</v>
      </c>
      <c r="H34" s="25">
        <f t="shared" si="5"/>
        <v>0.3958333333333337</v>
      </c>
      <c r="I34" s="26">
        <f t="shared" si="6"/>
        <v>6.2500000000000389E-2</v>
      </c>
      <c r="J34" s="27" t="s">
        <v>21</v>
      </c>
      <c r="K34" s="58" t="s">
        <v>37</v>
      </c>
    </row>
    <row r="35" spans="2:11" s="17" customFormat="1" ht="14.25" customHeight="1">
      <c r="B35" s="28">
        <f t="shared" si="2"/>
        <v>26</v>
      </c>
      <c r="C35" s="29">
        <f t="shared" si="0"/>
        <v>4</v>
      </c>
      <c r="D35" s="30" t="str">
        <f t="shared" si="1"/>
        <v>Fri</v>
      </c>
      <c r="E35" s="59">
        <v>0.33333333333333298</v>
      </c>
      <c r="F35" s="60">
        <v>0.72916666666666663</v>
      </c>
      <c r="G35" s="61">
        <v>4.1666666666666699E-2</v>
      </c>
      <c r="H35" s="25">
        <f t="shared" si="5"/>
        <v>0.35416666666666696</v>
      </c>
      <c r="I35" s="26">
        <f t="shared" si="6"/>
        <v>2.0833333333333648E-2</v>
      </c>
      <c r="J35" s="27" t="s">
        <v>21</v>
      </c>
      <c r="K35" s="58" t="s">
        <v>37</v>
      </c>
    </row>
    <row r="36" spans="2:11" s="17" customFormat="1" ht="14.25" customHeight="1">
      <c r="B36" s="28">
        <f t="shared" si="2"/>
        <v>27</v>
      </c>
      <c r="C36" s="29">
        <f t="shared" si="0"/>
        <v>5</v>
      </c>
      <c r="D36" s="30" t="str">
        <f t="shared" si="1"/>
        <v>Sat</v>
      </c>
      <c r="E36" s="59"/>
      <c r="F36" s="60"/>
      <c r="G36" s="61"/>
      <c r="H36" s="25"/>
      <c r="I36" s="26"/>
      <c r="J36" s="27"/>
      <c r="K36" s="58"/>
    </row>
    <row r="37" spans="2:11" s="17" customFormat="1" ht="15" customHeight="1">
      <c r="B37" s="28">
        <f t="shared" si="2"/>
        <v>28</v>
      </c>
      <c r="C37" s="29">
        <f t="shared" si="0"/>
        <v>6</v>
      </c>
      <c r="D37" s="30" t="str">
        <f t="shared" si="1"/>
        <v>Sun</v>
      </c>
      <c r="E37" s="59"/>
      <c r="F37" s="60"/>
      <c r="G37" s="61"/>
      <c r="H37" s="25"/>
      <c r="I37" s="26"/>
      <c r="J37" s="27"/>
      <c r="K37" s="58"/>
    </row>
    <row r="38" spans="2:11" s="17" customFormat="1" ht="15" customHeight="1">
      <c r="B38" s="28">
        <f t="shared" si="2"/>
        <v>29</v>
      </c>
      <c r="C38" s="29">
        <f t="shared" si="0"/>
        <v>7</v>
      </c>
      <c r="D38" s="30" t="str">
        <f t="shared" si="1"/>
        <v>Mon</v>
      </c>
      <c r="E38" s="59">
        <v>0.33333333333333298</v>
      </c>
      <c r="F38" s="60">
        <v>0.72916666666666663</v>
      </c>
      <c r="G38" s="61">
        <v>4.1666666666666699E-2</v>
      </c>
      <c r="H38" s="25">
        <f t="shared" si="5"/>
        <v>0.35416666666666696</v>
      </c>
      <c r="I38" s="26">
        <f t="shared" si="6"/>
        <v>2.0833333333333648E-2</v>
      </c>
      <c r="J38" s="27" t="s">
        <v>21</v>
      </c>
      <c r="K38" s="58" t="s">
        <v>34</v>
      </c>
    </row>
    <row r="39" spans="2:11" s="17" customFormat="1" ht="14.25" customHeight="1">
      <c r="B39" s="35">
        <f t="shared" si="2"/>
        <v>30</v>
      </c>
      <c r="C39" s="36"/>
      <c r="D39" s="37" t="str">
        <f t="shared" si="1"/>
        <v>Tue</v>
      </c>
      <c r="E39" s="59">
        <v>0.33333333333333298</v>
      </c>
      <c r="F39" s="60">
        <v>0.72916666666666663</v>
      </c>
      <c r="G39" s="61">
        <v>4.1666666666666699E-2</v>
      </c>
      <c r="H39" s="25">
        <f t="shared" si="5"/>
        <v>0.35416666666666696</v>
      </c>
      <c r="I39" s="26">
        <f t="shared" si="6"/>
        <v>2.0833333333333648E-2</v>
      </c>
      <c r="J39" s="27" t="s">
        <v>21</v>
      </c>
      <c r="K39" s="58" t="s">
        <v>34</v>
      </c>
    </row>
    <row r="40" spans="2:11" s="17" customFormat="1" ht="15.75" customHeight="1" thickBot="1">
      <c r="B40" s="28" t="str">
        <f t="shared" si="2"/>
        <v>**</v>
      </c>
      <c r="C40" s="29"/>
      <c r="D40" s="32" t="str">
        <f t="shared" ref="D40" si="7">IF(B40="**","**",CHOOSE(WEEKDAY(DATE($F$7,$E$7,B40),1),"Sun","Mon","Tue","Wed","Thu","Fri","Sat"))</f>
        <v>**</v>
      </c>
      <c r="E40" s="64"/>
      <c r="F40" s="65"/>
      <c r="G40" s="66"/>
      <c r="H40" s="67"/>
      <c r="I40" s="68"/>
      <c r="J40" s="69"/>
      <c r="K40" s="70"/>
    </row>
    <row r="41" spans="2:11" ht="15" customHeight="1" thickBot="1">
      <c r="B41" s="38"/>
      <c r="C41" s="38"/>
      <c r="D41" s="38"/>
      <c r="E41" s="39"/>
      <c r="F41" s="121" t="s">
        <v>22</v>
      </c>
      <c r="G41" s="122"/>
      <c r="H41" s="40">
        <f>SUM(H10:H40)</f>
        <v>7.6458333333333393</v>
      </c>
      <c r="I41" s="41">
        <f>SUM(I10:I40)</f>
        <v>0.97916666666667318</v>
      </c>
      <c r="J41" s="42"/>
      <c r="K41" s="39"/>
    </row>
    <row r="42" spans="2:11" ht="15" customHeight="1" thickBot="1">
      <c r="B42" s="38"/>
      <c r="C42" s="38"/>
      <c r="D42" s="38"/>
      <c r="E42" s="39"/>
      <c r="F42" s="39"/>
      <c r="G42" s="39"/>
      <c r="H42" s="43"/>
      <c r="I42" s="43"/>
      <c r="J42" s="39"/>
      <c r="K42" s="39"/>
    </row>
    <row r="43" spans="2:11" ht="14.25" customHeight="1" thickTop="1" thickBot="1">
      <c r="B43" s="5"/>
      <c r="C43" s="5"/>
      <c r="D43" s="77"/>
      <c r="E43" s="78"/>
      <c r="F43" s="119" t="s">
        <v>23</v>
      </c>
      <c r="G43" s="120"/>
      <c r="H43" s="78"/>
      <c r="I43" s="82" t="s">
        <v>24</v>
      </c>
      <c r="J43" s="78"/>
      <c r="K43" s="44"/>
    </row>
    <row r="44" spans="2:11" ht="13.5" customHeight="1" thickTop="1">
      <c r="B44" s="5"/>
      <c r="C44" s="5"/>
      <c r="D44" s="113" t="s">
        <v>25</v>
      </c>
      <c r="E44" s="114"/>
      <c r="F44" s="71" t="s">
        <v>2</v>
      </c>
      <c r="G44" s="101"/>
      <c r="H44" s="72"/>
      <c r="I44" s="102"/>
      <c r="J44" s="103"/>
      <c r="K44" s="44"/>
    </row>
    <row r="45" spans="2:11" ht="14.25" customHeight="1">
      <c r="B45" s="5"/>
      <c r="C45" s="5"/>
      <c r="D45" s="73" t="s">
        <v>26</v>
      </c>
      <c r="E45" s="74"/>
      <c r="F45" s="92">
        <v>46175</v>
      </c>
      <c r="G45" s="93"/>
      <c r="H45" s="94"/>
      <c r="I45" s="71"/>
      <c r="J45" s="72"/>
      <c r="K45" s="44"/>
    </row>
    <row r="46" spans="2:11" ht="14.25" customHeight="1">
      <c r="B46" s="5"/>
      <c r="C46" s="5"/>
      <c r="D46" s="73" t="s">
        <v>27</v>
      </c>
      <c r="E46" s="74"/>
      <c r="F46" s="95"/>
      <c r="G46" s="93"/>
      <c r="H46" s="94"/>
      <c r="I46" s="88"/>
      <c r="J46" s="89"/>
      <c r="K46" s="44"/>
    </row>
    <row r="47" spans="2:11" ht="13.5" customHeight="1" thickBot="1">
      <c r="B47" s="5"/>
      <c r="C47" s="45"/>
      <c r="D47" s="90" t="s">
        <v>26</v>
      </c>
      <c r="E47" s="91"/>
      <c r="F47" s="92"/>
      <c r="G47" s="93"/>
      <c r="H47" s="94"/>
      <c r="I47" s="83"/>
      <c r="J47" s="84"/>
      <c r="K47" s="44"/>
    </row>
    <row r="48" spans="2:11" ht="22.5" customHeight="1" thickTop="1">
      <c r="B48" s="38"/>
      <c r="C48" s="46"/>
      <c r="D48" s="47"/>
      <c r="E48" s="48"/>
      <c r="F48" s="49"/>
      <c r="G48" s="49"/>
      <c r="H48" s="49"/>
      <c r="I48" s="50"/>
      <c r="J48" s="51"/>
      <c r="K48" s="39"/>
    </row>
    <row r="49" spans="2:11" ht="14.25" customHeight="1">
      <c r="B49" s="85" t="s">
        <v>28</v>
      </c>
      <c r="C49" s="86"/>
      <c r="D49" s="86"/>
      <c r="E49" s="86"/>
      <c r="F49" s="86"/>
      <c r="G49" s="86"/>
      <c r="H49" s="86"/>
      <c r="I49" s="86"/>
      <c r="J49" s="86"/>
      <c r="K49" s="87"/>
    </row>
    <row r="50" spans="2:11" s="63" customFormat="1" ht="12" customHeight="1">
      <c r="B50" s="79" t="s">
        <v>29</v>
      </c>
      <c r="C50" s="80"/>
      <c r="D50" s="80"/>
      <c r="E50" s="80"/>
      <c r="F50" s="80"/>
      <c r="G50" s="80"/>
      <c r="H50" s="80"/>
      <c r="I50" s="80"/>
      <c r="J50" s="80"/>
      <c r="K50" s="81"/>
    </row>
    <row r="51" spans="2:11" s="63" customFormat="1" ht="12" customHeight="1">
      <c r="B51" s="79" t="s">
        <v>30</v>
      </c>
      <c r="C51" s="80"/>
      <c r="D51" s="80"/>
      <c r="E51" s="80"/>
      <c r="F51" s="80"/>
      <c r="G51" s="80"/>
      <c r="H51" s="80"/>
      <c r="I51" s="80"/>
      <c r="J51" s="80"/>
      <c r="K51" s="81"/>
    </row>
    <row r="52" spans="2:11" s="63" customFormat="1" ht="12" customHeight="1">
      <c r="B52" s="79" t="s">
        <v>31</v>
      </c>
      <c r="C52" s="80"/>
      <c r="D52" s="80"/>
      <c r="E52" s="80"/>
      <c r="F52" s="80"/>
      <c r="G52" s="80"/>
      <c r="H52" s="80"/>
      <c r="I52" s="80"/>
      <c r="J52" s="80"/>
      <c r="K52" s="81"/>
    </row>
    <row r="53" spans="2:11" s="63" customFormat="1" ht="12" customHeight="1">
      <c r="B53" s="52" t="s">
        <v>32</v>
      </c>
      <c r="C53" s="53"/>
      <c r="D53" s="53"/>
      <c r="E53" s="53"/>
      <c r="F53" s="53"/>
      <c r="G53" s="53"/>
      <c r="H53" s="53"/>
      <c r="I53" s="53"/>
      <c r="J53" s="53"/>
      <c r="K53" s="54"/>
    </row>
    <row r="54" spans="2:11">
      <c r="J54" s="55"/>
      <c r="K54" s="55"/>
    </row>
    <row r="55" spans="2:11">
      <c r="J55" s="55"/>
      <c r="K55" s="55"/>
    </row>
    <row r="56" spans="2:11">
      <c r="J56" s="55"/>
      <c r="K56" s="55"/>
    </row>
    <row r="57" spans="2:11">
      <c r="J57" s="55"/>
      <c r="K57" s="55"/>
    </row>
    <row r="58" spans="2:11">
      <c r="B58" s="56"/>
      <c r="C58" s="57"/>
      <c r="D58" s="57"/>
      <c r="J58" s="55"/>
      <c r="K58" s="55"/>
    </row>
    <row r="59" spans="2:11">
      <c r="B59" s="56"/>
      <c r="C59" s="57"/>
      <c r="D59" s="57"/>
      <c r="J59" s="55"/>
      <c r="K59" s="55"/>
    </row>
    <row r="60" spans="2:11">
      <c r="B60" s="56"/>
      <c r="C60" s="57"/>
      <c r="D60" s="57"/>
      <c r="J60" s="55"/>
      <c r="K60" s="55"/>
    </row>
    <row r="61" spans="2:11">
      <c r="B61" s="56"/>
      <c r="C61" s="57"/>
      <c r="D61" s="57"/>
      <c r="J61" s="55"/>
      <c r="K61" s="55"/>
    </row>
    <row r="62" spans="2:11">
      <c r="J62" s="55"/>
      <c r="K62" s="55"/>
    </row>
    <row r="63" spans="2:11">
      <c r="J63" s="55"/>
      <c r="K63" s="55"/>
    </row>
    <row r="64" spans="2:11">
      <c r="J64" s="55"/>
      <c r="K64" s="55"/>
    </row>
    <row r="65" spans="10:11">
      <c r="J65" s="55"/>
      <c r="K65" s="55"/>
    </row>
    <row r="66" spans="10:11">
      <c r="J66" s="55"/>
      <c r="K66" s="55"/>
    </row>
    <row r="67" spans="10:11">
      <c r="J67" s="55"/>
      <c r="K67" s="55"/>
    </row>
    <row r="68" spans="10:11">
      <c r="J68" s="55"/>
      <c r="K68" s="55"/>
    </row>
    <row r="69" spans="10:11">
      <c r="J69" s="55"/>
      <c r="K69" s="55"/>
    </row>
    <row r="70" spans="10:11">
      <c r="J70" s="55"/>
      <c r="K70" s="55"/>
    </row>
    <row r="71" spans="10:11">
      <c r="J71" s="55"/>
      <c r="K71" s="55"/>
    </row>
    <row r="72" spans="10:11">
      <c r="J72" s="55"/>
      <c r="K72" s="55"/>
    </row>
    <row r="73" spans="10:11">
      <c r="J73" s="55"/>
      <c r="K73" s="55"/>
    </row>
    <row r="74" spans="10:11">
      <c r="J74" s="55"/>
      <c r="K74" s="55"/>
    </row>
    <row r="75" spans="10:11">
      <c r="J75" s="55"/>
      <c r="K75" s="55"/>
    </row>
    <row r="76" spans="10:11">
      <c r="J76" s="55"/>
      <c r="K76" s="55"/>
    </row>
    <row r="77" spans="10:11">
      <c r="J77" s="55"/>
      <c r="K77" s="55"/>
    </row>
    <row r="78" spans="10:11">
      <c r="J78" s="55"/>
      <c r="K78" s="55"/>
    </row>
    <row r="79" spans="10:11">
      <c r="J79" s="55"/>
      <c r="K79" s="55"/>
    </row>
    <row r="80" spans="10:11">
      <c r="J80" s="55"/>
      <c r="K80" s="55"/>
    </row>
    <row r="81" spans="10:11">
      <c r="J81" s="55"/>
      <c r="K81" s="55"/>
    </row>
    <row r="82" spans="10:11">
      <c r="J82" s="55"/>
      <c r="K82" s="55"/>
    </row>
    <row r="83" spans="10:11">
      <c r="J83" s="55"/>
      <c r="K83" s="55"/>
    </row>
    <row r="84" spans="10:11">
      <c r="J84" s="55"/>
      <c r="K84" s="55"/>
    </row>
    <row r="85" spans="10:11">
      <c r="J85" s="55"/>
      <c r="K85" s="55"/>
    </row>
    <row r="86" spans="10:11">
      <c r="J86" s="55"/>
      <c r="K86" s="55"/>
    </row>
    <row r="87" spans="10:11">
      <c r="J87" s="55"/>
      <c r="K87" s="55"/>
    </row>
    <row r="88" spans="10:11">
      <c r="J88" s="55"/>
      <c r="K88" s="55"/>
    </row>
    <row r="89" spans="10:11">
      <c r="J89" s="55"/>
      <c r="K89" s="55"/>
    </row>
    <row r="90" spans="10:11">
      <c r="J90" s="55"/>
      <c r="K90" s="55"/>
    </row>
    <row r="91" spans="10:11">
      <c r="J91" s="55"/>
      <c r="K91" s="55"/>
    </row>
    <row r="92" spans="10:11">
      <c r="J92" s="55"/>
      <c r="K92" s="55"/>
    </row>
    <row r="93" spans="10:11">
      <c r="J93" s="55"/>
      <c r="K93" s="55"/>
    </row>
    <row r="94" spans="10:11">
      <c r="J94" s="55"/>
      <c r="K94" s="55"/>
    </row>
    <row r="95" spans="10:11">
      <c r="J95" s="55"/>
      <c r="K95" s="55"/>
    </row>
    <row r="96" spans="10:11">
      <c r="J96" s="55"/>
      <c r="K96" s="55"/>
    </row>
    <row r="97" spans="10:11">
      <c r="J97" s="55"/>
      <c r="K97" s="55"/>
    </row>
    <row r="98" spans="10:11">
      <c r="J98" s="55"/>
      <c r="K98" s="55"/>
    </row>
    <row r="99" spans="10:11">
      <c r="J99" s="55"/>
      <c r="K99" s="55"/>
    </row>
    <row r="100" spans="10:11">
      <c r="J100" s="55"/>
      <c r="K100" s="55"/>
    </row>
    <row r="101" spans="10:11">
      <c r="J101" s="55"/>
      <c r="K101" s="55"/>
    </row>
    <row r="102" spans="10:11">
      <c r="J102" s="55"/>
      <c r="K102" s="55"/>
    </row>
    <row r="103" spans="10:11">
      <c r="J103" s="55"/>
      <c r="K103" s="55"/>
    </row>
    <row r="104" spans="10:11">
      <c r="J104" s="55"/>
      <c r="K104" s="55"/>
    </row>
    <row r="105" spans="10:11">
      <c r="J105" s="55"/>
      <c r="K105" s="55"/>
    </row>
    <row r="106" spans="10:11">
      <c r="J106" s="55"/>
      <c r="K106" s="55"/>
    </row>
    <row r="107" spans="10:11">
      <c r="J107" s="55"/>
      <c r="K107" s="55"/>
    </row>
    <row r="108" spans="10:11">
      <c r="J108" s="55"/>
      <c r="K108" s="55"/>
    </row>
    <row r="109" spans="10:11">
      <c r="J109" s="55"/>
      <c r="K109" s="55"/>
    </row>
    <row r="110" spans="10:11">
      <c r="J110" s="55"/>
      <c r="K110" s="55"/>
    </row>
    <row r="111" spans="10:11">
      <c r="J111" s="55"/>
      <c r="K111" s="55"/>
    </row>
    <row r="112" spans="10:11">
      <c r="J112" s="55"/>
      <c r="K112" s="55"/>
    </row>
    <row r="113" spans="10:11">
      <c r="J113" s="55"/>
      <c r="K113" s="55"/>
    </row>
    <row r="114" spans="10:11">
      <c r="J114" s="55"/>
      <c r="K114" s="55"/>
    </row>
    <row r="115" spans="10:11">
      <c r="J115" s="55"/>
      <c r="K115" s="55"/>
    </row>
    <row r="116" spans="10:11">
      <c r="J116" s="55"/>
      <c r="K116" s="55"/>
    </row>
    <row r="117" spans="10:11">
      <c r="J117" s="55"/>
      <c r="K117" s="55"/>
    </row>
    <row r="118" spans="10:11">
      <c r="J118" s="55"/>
      <c r="K118" s="55"/>
    </row>
    <row r="119" spans="10:11">
      <c r="J119" s="55"/>
      <c r="K119" s="55"/>
    </row>
    <row r="120" spans="10:11">
      <c r="J120" s="55"/>
      <c r="K120" s="55"/>
    </row>
    <row r="121" spans="10:11">
      <c r="J121" s="55"/>
      <c r="K121" s="55"/>
    </row>
    <row r="122" spans="10:11">
      <c r="J122" s="55"/>
      <c r="K122" s="55"/>
    </row>
    <row r="123" spans="10:11">
      <c r="J123" s="55"/>
      <c r="K123" s="55"/>
    </row>
    <row r="124" spans="10:11">
      <c r="J124" s="55"/>
      <c r="K124" s="55"/>
    </row>
    <row r="125" spans="10:11">
      <c r="J125" s="55"/>
      <c r="K125" s="55"/>
    </row>
    <row r="126" spans="10:11">
      <c r="J126" s="55"/>
      <c r="K126" s="55"/>
    </row>
    <row r="127" spans="10:11">
      <c r="J127" s="55"/>
      <c r="K127" s="55"/>
    </row>
    <row r="128" spans="10:11">
      <c r="J128" s="55"/>
      <c r="K128" s="55"/>
    </row>
    <row r="129" spans="10:11">
      <c r="J129" s="55"/>
      <c r="K129" s="55"/>
    </row>
    <row r="130" spans="10:11">
      <c r="J130" s="55"/>
      <c r="K130" s="55"/>
    </row>
    <row r="131" spans="10:11">
      <c r="J131" s="55"/>
      <c r="K131" s="55"/>
    </row>
    <row r="132" spans="10:11">
      <c r="J132" s="55"/>
      <c r="K132" s="55"/>
    </row>
    <row r="133" spans="10:11">
      <c r="J133" s="55"/>
      <c r="K133" s="55"/>
    </row>
    <row r="134" spans="10:11">
      <c r="J134" s="55"/>
      <c r="K134" s="55"/>
    </row>
    <row r="135" spans="10:11">
      <c r="J135" s="55"/>
      <c r="K135" s="55"/>
    </row>
    <row r="136" spans="10:11">
      <c r="J136" s="55"/>
      <c r="K136" s="55"/>
    </row>
    <row r="137" spans="10:11">
      <c r="J137" s="55"/>
      <c r="K137" s="55"/>
    </row>
    <row r="138" spans="10:11">
      <c r="J138" s="55"/>
      <c r="K138" s="55"/>
    </row>
    <row r="139" spans="10:11">
      <c r="J139" s="55"/>
      <c r="K139" s="55"/>
    </row>
    <row r="140" spans="10:11">
      <c r="J140" s="55"/>
      <c r="K140" s="55"/>
    </row>
    <row r="141" spans="10:11">
      <c r="J141" s="55"/>
      <c r="K141" s="55"/>
    </row>
    <row r="142" spans="10:11">
      <c r="J142" s="55"/>
      <c r="K142" s="55"/>
    </row>
  </sheetData>
  <mergeCells count="31">
    <mergeCell ref="B2:J2"/>
    <mergeCell ref="E3:G3"/>
    <mergeCell ref="F44:H44"/>
    <mergeCell ref="I44:J44"/>
    <mergeCell ref="E5:G5"/>
    <mergeCell ref="J8:J9"/>
    <mergeCell ref="E8:G8"/>
    <mergeCell ref="E4:G4"/>
    <mergeCell ref="H8:I8"/>
    <mergeCell ref="D44:E44"/>
    <mergeCell ref="B5:D5"/>
    <mergeCell ref="B4:D4"/>
    <mergeCell ref="F43:H43"/>
    <mergeCell ref="F41:G41"/>
    <mergeCell ref="B8:D9"/>
    <mergeCell ref="I45:J45"/>
    <mergeCell ref="D46:E46"/>
    <mergeCell ref="K8:K9"/>
    <mergeCell ref="D43:E43"/>
    <mergeCell ref="B52:K52"/>
    <mergeCell ref="I43:J43"/>
    <mergeCell ref="B51:K51"/>
    <mergeCell ref="I47:J47"/>
    <mergeCell ref="B50:K50"/>
    <mergeCell ref="B49:K49"/>
    <mergeCell ref="I46:J46"/>
    <mergeCell ref="D47:E47"/>
    <mergeCell ref="D45:E45"/>
    <mergeCell ref="F47:H47"/>
    <mergeCell ref="F46:H46"/>
    <mergeCell ref="F45:H45"/>
  </mergeCells>
  <phoneticPr fontId="20" type="noConversion"/>
  <conditionalFormatting sqref="H40:I40">
    <cfRule type="expression" dxfId="21" priority="53">
      <formula>$D40="Sun"</formula>
    </cfRule>
    <cfRule type="expression" dxfId="20" priority="54">
      <formula>$D40="Sat"</formula>
    </cfRule>
  </conditionalFormatting>
  <conditionalFormatting sqref="J40">
    <cfRule type="expression" dxfId="19" priority="51">
      <formula>$D40="Sun"</formula>
    </cfRule>
    <cfRule type="expression" dxfId="18" priority="52">
      <formula>$D40="Sat"</formula>
    </cfRule>
  </conditionalFormatting>
  <conditionalFormatting sqref="K40">
    <cfRule type="expression" dxfId="17" priority="49">
      <formula>$D40="Sun"</formula>
    </cfRule>
    <cfRule type="expression" dxfId="16" priority="50">
      <formula>$D40="Sat"</formula>
    </cfRule>
  </conditionalFormatting>
  <conditionalFormatting sqref="E40">
    <cfRule type="expression" dxfId="15" priority="47">
      <formula>$D40="Sun"</formula>
    </cfRule>
    <cfRule type="expression" dxfId="14" priority="48">
      <formula>$D40="Sat"</formula>
    </cfRule>
  </conditionalFormatting>
  <conditionalFormatting sqref="G40">
    <cfRule type="expression" dxfId="13" priority="45">
      <formula>$D40="Sun"</formula>
    </cfRule>
    <cfRule type="expression" dxfId="12" priority="46">
      <formula>$D40="Sat"</formula>
    </cfRule>
  </conditionalFormatting>
  <conditionalFormatting sqref="F40">
    <cfRule type="expression" dxfId="11" priority="43">
      <formula>$D40="Sun"</formula>
    </cfRule>
    <cfRule type="expression" dxfId="10" priority="44">
      <formula>$D40="Sat"</formula>
    </cfRule>
  </conditionalFormatting>
  <conditionalFormatting sqref="H10:I39 K10:K39">
    <cfRule type="expression" dxfId="1" priority="29">
      <formula>$D10="Sun"</formula>
    </cfRule>
    <cfRule type="expression" dxfId="0" priority="30">
      <formula>$D10="Sat"</formula>
    </cfRule>
  </conditionalFormatting>
  <conditionalFormatting sqref="E10:E39">
    <cfRule type="expression" dxfId="9" priority="27">
      <formula>$D10="Sun"</formula>
    </cfRule>
    <cfRule type="expression" dxfId="8" priority="28">
      <formula>$D10="Sat"</formula>
    </cfRule>
  </conditionalFormatting>
  <conditionalFormatting sqref="J10:J39">
    <cfRule type="expression" dxfId="7" priority="25">
      <formula>$D10="Sun"</formula>
    </cfRule>
    <cfRule type="expression" dxfId="6" priority="26">
      <formula>$D10="Sat"</formula>
    </cfRule>
  </conditionalFormatting>
  <conditionalFormatting sqref="G10:G39">
    <cfRule type="expression" dxfId="5" priority="23">
      <formula>$D10="Sun"</formula>
    </cfRule>
    <cfRule type="expression" dxfId="4" priority="24">
      <formula>$D10="Sat"</formula>
    </cfRule>
  </conditionalFormatting>
  <conditionalFormatting sqref="F10:F39">
    <cfRule type="expression" dxfId="3" priority="21">
      <formula>$D10="Sun"</formula>
    </cfRule>
    <cfRule type="expression" dxfId="2" priority="22">
      <formula>$D10="Sat"</formula>
    </cfRule>
  </conditionalFormatting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Alfin Rizqiansi Ansory</dc:creator>
  <cp:lastModifiedBy>Raka Zidan</cp:lastModifiedBy>
  <dcterms:created xsi:type="dcterms:W3CDTF">2024-06-07T15:22:36Z</dcterms:created>
  <dcterms:modified xsi:type="dcterms:W3CDTF">2026-07-02T07:04:19Z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2024-11-13T01:19:05Z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3bf3a94b-e050-4d57-a2cf-bf6267a92caa</vt:lpwstr>
  </property>
  <property fmtid="{D5CDD505-2E9C-101B-9397-08002B2CF9AE}" pid="8" name="MSIP_Label_a7295cc1-d279-42ac-ab4d-3b0f4fece050_ContentBits">
    <vt:lpwstr>0</vt:lpwstr>
  </property>
</Properties>
</file>